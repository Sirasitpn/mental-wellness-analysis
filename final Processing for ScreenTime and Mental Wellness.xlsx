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angpond\chula\year 2\Data Sci\Project\"/>
    </mc:Choice>
  </mc:AlternateContent>
  <xr:revisionPtr revIDLastSave="0" documentId="8_{2C112F2B-C132-4E78-A1FB-9455262A9113}" xr6:coauthVersionLast="47" xr6:coauthVersionMax="47" xr10:uidLastSave="{00000000-0000-0000-0000-000000000000}"/>
  <bookViews>
    <workbookView xWindow="-110" yWindow="-110" windowWidth="25820" windowHeight="15500" tabRatio="599" firstSheet="7" activeTab="8" xr2:uid="{49740998-23BB-4CE3-A9EE-77AE6E844BBE}"/>
  </bookViews>
  <sheets>
    <sheet name="ScreenTime vs MentalWellness" sheetId="2" r:id="rId1"/>
    <sheet name="Removed Outlier for productivit" sheetId="17" r:id="rId2"/>
    <sheet name="General Info Of Data set" sheetId="20" r:id="rId3"/>
    <sheet name="Productivity IQR" sheetId="16" r:id="rId4"/>
    <sheet name="Stress And Productivity" sheetId="18" r:id="rId5"/>
    <sheet name="Group by work mode ANOVA" sheetId="19" r:id="rId6"/>
    <sheet name="ScreenTime VS Productivity" sheetId="23" r:id="rId7"/>
    <sheet name="ScreenTime and Productivity" sheetId="24" r:id="rId8"/>
    <sheet name="Productivity vs ExerciseMinutes" sheetId="13" r:id="rId9"/>
    <sheet name="Productivity vs SocialHours" sheetId="14" r:id="rId10"/>
  </sheets>
  <externalReferences>
    <externalReference r:id="rId11"/>
  </externalReferences>
  <definedNames>
    <definedName name="_xlchart.v1.0" hidden="1">'Removed Outlier for productivit'!$J$2:$J$394</definedName>
    <definedName name="_xlchart.v1.1" hidden="1">[1]Table1!$E$1</definedName>
    <definedName name="_xlchart.v1.2" hidden="1">[1]Table1!$E$2:$E$391</definedName>
    <definedName name="ExternalData_1" localSheetId="5" hidden="1">'Group by work mode ANOVA'!$A$1:$A$151</definedName>
    <definedName name="ExternalData_1" localSheetId="1" hidden="1">'Removed Outlier for productivit'!$A$1:$L$394</definedName>
    <definedName name="ExternalData_1" localSheetId="0" hidden="1">'ScreenTime vs MentalWellness'!$A$1:$O$401</definedName>
    <definedName name="ExternalData_1" localSheetId="6" hidden="1">'ScreenTime VS Productivity'!$A$1:$E$391</definedName>
    <definedName name="ExternalData_2" localSheetId="5" hidden="1">'Group by work mode ANOVA'!$E$1:$E$103</definedName>
    <definedName name="ExternalData_2" localSheetId="4" hidden="1">'Stress And Productivity'!$A$1:$F$394</definedName>
    <definedName name="ExternalData_3" localSheetId="5" hidden="1">'Group by work mode ANOVA'!$I$1:$I$142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0" i="17" l="1"/>
  <c r="M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H21" i="23"/>
  <c r="K20" i="23" s="1"/>
  <c r="H20" i="23"/>
  <c r="H22" i="23"/>
  <c r="K21" i="23" s="1"/>
  <c r="H3" i="23"/>
  <c r="H4" i="23"/>
  <c r="K3" i="23" s="1"/>
  <c r="H5" i="23"/>
  <c r="K4" i="23" s="1"/>
  <c r="F16" i="20"/>
  <c r="F17" i="20"/>
  <c r="F15" i="20"/>
  <c r="F8" i="20"/>
  <c r="F9" i="20"/>
  <c r="F10" i="20"/>
  <c r="F11" i="20"/>
  <c r="F7" i="20"/>
  <c r="F3" i="20"/>
  <c r="F4" i="20"/>
  <c r="F2" i="20"/>
  <c r="R23" i="18" l="1"/>
  <c r="R22" i="18"/>
  <c r="S23" i="18"/>
  <c r="S22" i="18"/>
  <c r="S21" i="18"/>
  <c r="R21" i="18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B2" i="16" l="1"/>
  <c r="B3" i="16"/>
  <c r="B4" i="16" l="1"/>
  <c r="D2" i="16" s="1"/>
  <c r="D3" i="1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924E6-66D5-49BD-B985-2507F1867356}" keepAlive="1" name="Query - Female ScreenTime_vs_MentalWellness (2)" description="Connection to the 'Female ScreenTime_vs_MentalWellness (2)' query in the workbook." type="5" refreshedVersion="8" background="1" saveData="1">
    <dbPr connection="Provider=Microsoft.Mashup.OleDb.1;Data Source=$Workbook$;Location=&quot;Female ScreenTime_vs_MentalWellness (2)&quot;;Extended Properties=&quot;&quot;" command="SELECT * FROM [Female ScreenTime_vs_MentalWellness (2)]"/>
  </connection>
  <connection id="2" xr16:uid="{8C948CA6-AF7A-47CA-BE61-AE460239C879}" keepAlive="1" name="Query - Hybrid Stress And Productivity (4)" description="Connection to the 'Hybrid Stress And Productivity (4)' query in the workbook." type="5" refreshedVersion="8" background="1" saveData="1">
    <dbPr connection="Provider=Microsoft.Mashup.OleDb.1;Data Source=$Workbook$;Location=&quot;Hybrid Stress And Productivity (4)&quot;;Extended Properties=&quot;&quot;" command="SELECT * FROM [Hybrid Stress And Productivity (4)]"/>
  </connection>
  <connection id="3" xr16:uid="{480532E2-032A-4ADA-B31C-6A06D0C6C9A1}" keepAlive="1" name="Query - In-person Stress And Productivity (3)" description="Connection to the 'In-person Stress And Productivity (3)' query in the workbook." type="5" refreshedVersion="8" background="1" saveData="1">
    <dbPr connection="Provider=Microsoft.Mashup.OleDb.1;Data Source=$Workbook$;Location=&quot;In-person Stress And Productivity (3)&quot;;Extended Properties=&quot;&quot;" command="SELECT * FROM [In-person Stress And Productivity (3)]"/>
  </connection>
  <connection id="4" xr16:uid="{BC7DAB07-42C1-4D29-94EE-2143681E0044}" keepAlive="1" name="Query - Male ScreenTime_vs_MentalWellness (2)" description="Connection to the 'Male ScreenTime_vs_MentalWellness (2)' query in the workbook." type="5" refreshedVersion="8" background="1" saveData="1">
    <dbPr connection="Provider=Microsoft.Mashup.OleDb.1;Data Source=$Workbook$;Location=&quot;Male ScreenTime_vs_MentalWellness (2)&quot;;Extended Properties=&quot;&quot;" command="SELECT * FROM [Male ScreenTime_vs_MentalWellness (2)]"/>
  </connection>
  <connection id="5" xr16:uid="{C07B7B83-FC34-4F47-A3F7-BD89C1F02F43}" keepAlive="1" name="Query - Others ScreenTime_vs_MentalWellness (3)" description="Connection to the 'Others ScreenTime_vs_MentalWellness (3)' query in the workbook." type="5" refreshedVersion="8" background="1" saveData="1">
    <dbPr connection="Provider=Microsoft.Mashup.OleDb.1;Data Source=$Workbook$;Location=&quot;Others ScreenTime_vs_MentalWellness (3)&quot;;Extended Properties=&quot;&quot;" command="SELECT * FROM [Others ScreenTime_vs_MentalWellness (3)]"/>
  </connection>
  <connection id="6" xr16:uid="{F012408E-0DB9-4B36-8ACF-92D53B6C7EEB}" keepAlive="1" name="Query - Remote Stress And Productivity (2)" description="Connection to the 'Remote Stress And Productivity (2)' query in the workbook." type="5" refreshedVersion="8" background="1" saveData="1">
    <dbPr connection="Provider=Microsoft.Mashup.OleDb.1;Data Source=$Workbook$;Location=&quot;Remote Stress And Productivity (2)&quot;;Extended Properties=&quot;&quot;" command="SELECT * FROM [Remote Stress And Productivity (2)]"/>
  </connection>
  <connection id="7" xr16:uid="{F7C423A3-3470-4568-9CB1-8A3D8764F816}" keepAlive="1" name="Query - Removed Productivity Outlier" description="Connection to the 'Removed Productivity Outlier' query in the workbook." type="5" refreshedVersion="0" background="1">
    <dbPr connection="Provider=Microsoft.Mashup.OleDb.1;Data Source=$Workbook$;Location=&quot;Removed Productivity Outlier&quot;;Extended Properties=&quot;&quot;" command="SELECT * FROM [Removed Productivity Outlier]"/>
  </connection>
  <connection id="8" xr16:uid="{CF0F4C00-A491-468C-ABDD-C8BC9397FA0E}" keepAlive="1" name="Query - ScreenTime_vs_MentalWellness" description="Connection to the 'ScreenTime_vs_MentalWellness' query in the workbook." type="5" refreshedVersion="8" background="1" saveData="1">
    <dbPr connection="Provider=Microsoft.Mashup.OleDb.1;Data Source=$Workbook$;Location=ScreenTime_vs_MentalWellness;Extended Properties=&quot;&quot;" command="SELECT * FROM [ScreenTime_vs_MentalWellness]"/>
  </connection>
  <connection id="9" xr16:uid="{76418AFF-AD7B-4330-99BA-977AB3E5DA98}" keepAlive="1" name="Query - ScreenTime_vs_MentalWellness (2)" description="Connection to the 'ScreenTime_vs_MentalWellness (2)' query in the workbook." type="5" refreshedVersion="8" background="1" saveData="1">
    <dbPr connection="Provider=Microsoft.Mashup.OleDb.1;Data Source=$Workbook$;Location=&quot;ScreenTime_vs_MentalWellness (2)&quot;;Extended Properties=&quot;&quot;" command="SELECT * FROM [ScreenTime_vs_MentalWellness (2)]"/>
  </connection>
  <connection id="10" xr16:uid="{D971697D-3C41-47AD-99F7-DA242F56FC5B}" keepAlive="1" name="Query - Stress And Productivity" description="Connection to the 'Stress And Productivity' query in the workbook." type="5" refreshedVersion="8" background="1" saveData="1">
    <dbPr connection="Provider=Microsoft.Mashup.OleDb.1;Data Source=$Workbook$;Location=&quot;Stress And Productivity&quot;;Extended Properties=&quot;&quot;" command="SELECT * FROM [Stress And Productivity]"/>
  </connection>
  <connection id="11" xr16:uid="{437DB35F-3833-41FC-A21B-9F7CD81D28FE}" keepAlive="1" name="Query - Stress And Productivity(1)" description="Connection to the 'Stress And Productivity' query in the workbook." type="5" refreshedVersion="8" background="1" saveData="1">
    <dbPr connection="Provider=Microsoft.Mashup.OleDb.1;Data Source=$Workbook$;Location=&quot;Stress And Productivity&quot;;Extended Properties=&quot;&quot;" command="SELECT * FROM [Stress And Productivity]"/>
  </connection>
  <connection id="12" xr16:uid="{10208DBF-B2A8-48B2-9583-43C46AC0CA1A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<sst xmlns="http://schemas.openxmlformats.org/spreadsheetml/2006/main" count="6848" uniqueCount="537">
  <si>
    <t>Column1</t>
  </si>
  <si>
    <t>age</t>
  </si>
  <si>
    <t>gender</t>
  </si>
  <si>
    <t>occupation</t>
  </si>
  <si>
    <t>work_mode</t>
  </si>
  <si>
    <t>screen_time_hours</t>
  </si>
  <si>
    <t>work_screen_hours</t>
  </si>
  <si>
    <t>leisure_screen_hours</t>
  </si>
  <si>
    <t>sleep_hours</t>
  </si>
  <si>
    <t>sleep_quality_1_5</t>
  </si>
  <si>
    <t>stress_level_0_10</t>
  </si>
  <si>
    <t>productivity_0_100</t>
  </si>
  <si>
    <t>exercise_minutes_per_week</t>
  </si>
  <si>
    <t>social_hours_per_week</t>
  </si>
  <si>
    <t>mental_wellness_index_0_100</t>
  </si>
  <si>
    <t>U0001</t>
  </si>
  <si>
    <t>Female</t>
  </si>
  <si>
    <t>Employed</t>
  </si>
  <si>
    <t>Remote</t>
  </si>
  <si>
    <t>U0002</t>
  </si>
  <si>
    <t>In-person</t>
  </si>
  <si>
    <t>U0003</t>
  </si>
  <si>
    <t>Hybrid</t>
  </si>
  <si>
    <t>U0004</t>
  </si>
  <si>
    <t>Male</t>
  </si>
  <si>
    <t>U0005</t>
  </si>
  <si>
    <t>Student</t>
  </si>
  <si>
    <t>U0006</t>
  </si>
  <si>
    <t>Non-binary/Other</t>
  </si>
  <si>
    <t>Self-employed</t>
  </si>
  <si>
    <t>U0007</t>
  </si>
  <si>
    <t>Retired</t>
  </si>
  <si>
    <t>U0008</t>
  </si>
  <si>
    <t>U0009</t>
  </si>
  <si>
    <t>U0010</t>
  </si>
  <si>
    <t>U0011</t>
  </si>
  <si>
    <t>U0012</t>
  </si>
  <si>
    <t>Unemployed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</si>
  <si>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</si>
  <si>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</si>
  <si>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</si>
  <si>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</si>
  <si>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</si>
  <si>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</si>
  <si>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</si>
  <si>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</si>
  <si>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</si>
  <si>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</si>
  <si>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</si>
  <si>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</si>
  <si>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</si>
  <si>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</si>
  <si>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</si>
  <si>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</si>
  <si>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</si>
  <si>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</si>
  <si>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</si>
  <si>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</si>
  <si>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</si>
  <si>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</si>
  <si>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</si>
  <si>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</si>
  <si>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</si>
  <si>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</si>
  <si>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</si>
  <si>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</si>
  <si>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</si>
  <si>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</si>
  <si>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</si>
  <si>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</si>
  <si>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</si>
  <si>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</si>
  <si>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</si>
  <si>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</si>
  <si>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</si>
  <si>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</si>
  <si>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</si>
  <si>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</si>
  <si>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</si>
  <si>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</si>
  <si>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</si>
  <si>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</si>
  <si>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</si>
  <si>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</si>
  <si>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</si>
  <si>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</si>
  <si>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</si>
  <si>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</si>
  <si>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</si>
  <si>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</si>
  <si>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</si>
  <si>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</si>
  <si>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</si>
  <si>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</si>
  <si>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</si>
  <si>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</si>
  <si>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</si>
  <si>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</si>
  <si>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</si>
  <si>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</si>
  <si>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</si>
  <si>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</si>
  <si>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</si>
  <si>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</si>
  <si>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</si>
  <si>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</si>
  <si>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</si>
  <si>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</si>
  <si>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</si>
  <si>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</si>
  <si>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</si>
  <si>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</si>
  <si>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</si>
  <si>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</si>
  <si>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</si>
  <si>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</si>
  <si>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</si>
  <si>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</si>
  <si>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</si>
  <si>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</si>
  <si>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</si>
  <si>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</si>
  <si>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</si>
  <si>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</si>
  <si>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</si>
  <si>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</si>
  <si>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</si>
  <si>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</si>
  <si>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</si>
  <si>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</si>
  <si>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</si>
  <si>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</si>
  <si>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</si>
  <si>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</si>
  <si>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</si>
  <si>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</si>
  <si>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</si>
  <si>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</si>
  <si>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</si>
  <si>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</si>
  <si>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</si>
  <si>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</si>
  <si>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</si>
  <si>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</si>
  <si>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</si>
  <si>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</si>
  <si>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</si>
  <si>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</si>
  <si>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</si>
  <si>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</si>
  <si>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</si>
  <si>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</si>
  <si>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</si>
  <si>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</si>
  <si>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</si>
  <si>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</si>
  <si>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</si>
  <si>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</si>
  <si>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</si>
  <si>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</si>
  <si>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</si>
  <si>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</si>
  <si>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</si>
  <si>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</si>
  <si>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</si>
  <si>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</si>
  <si>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</si>
  <si>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</si>
  <si>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</si>
  <si>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</si>
  <si>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</si>
  <si>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</si>
  <si>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</si>
  <si>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</si>
  <si>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</si>
  <si>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</si>
  <si>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</si>
  <si>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</si>
  <si>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</si>
  <si>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</si>
  <si>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</si>
  <si>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</si>
  <si>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</si>
  <si>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</si>
  <si>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</si>
  <si>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</si>
  <si>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</si>
  <si>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</si>
  <si>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</si>
  <si>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</si>
  <si>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</si>
  <si>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</si>
  <si>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</si>
  <si>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</si>
  <si>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</si>
  <si>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</si>
  <si>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</si>
  <si>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</si>
  <si>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</si>
  <si>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</si>
  <si>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</si>
  <si>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</si>
  <si>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</si>
  <si>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</si>
  <si>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</si>
  <si>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</si>
  <si>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</si>
  <si>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</si>
  <si>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</si>
  <si>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</si>
  <si>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</si>
  <si>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</si>
  <si>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</si>
  <si>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</si>
  <si>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</si>
  <si>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</si>
  <si>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</si>
  <si>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</si>
  <si>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</si>
  <si>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</si>
  <si>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</si>
  <si>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</si>
  <si>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</si>
  <si>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</si>
  <si>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</si>
  <si>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</si>
  <si>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</si>
  <si>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</si>
  <si>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</si>
  <si>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</si>
  <si>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</si>
  <si>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</si>
  <si>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</si>
  <si>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</si>
  <si>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</si>
  <si>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</si>
  <si>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</si>
  <si>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</si>
  <si>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</si>
  <si>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</si>
  <si>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</si>
  <si>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</si>
  <si>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</si>
  <si>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</si>
  <si>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</si>
  <si>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</si>
  <si>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</si>
  <si>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</si>
  <si>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</si>
  <si>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</si>
  <si>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</si>
  <si>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</si>
  <si>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</si>
  <si>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</si>
  <si>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</si>
  <si>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</si>
  <si>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</si>
  <si>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</si>
  <si>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</si>
  <si>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</si>
  <si>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</si>
  <si>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</si>
  <si>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</si>
  <si>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</si>
  <si>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</si>
  <si>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</si>
  <si>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</si>
  <si>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</si>
  <si>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</si>
  <si>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</si>
  <si>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</si>
  <si>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</si>
  <si>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</si>
  <si>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</si>
  <si>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</si>
  <si>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</si>
  <si>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</si>
  <si>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</si>
  <si>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</si>
  <si>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</si>
  <si>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</si>
  <si>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</si>
  <si>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</si>
  <si>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</si>
  <si>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</si>
  <si>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</si>
  <si>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</si>
  <si>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</si>
  <si>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</si>
  <si>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</si>
  <si>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</si>
  <si>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</si>
  <si>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</si>
  <si>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</si>
  <si>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</si>
  <si>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</si>
  <si>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</si>
  <si>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</si>
  <si>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</si>
  <si>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</si>
  <si>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</si>
  <si>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</si>
  <si>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</si>
  <si>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</si>
  <si>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</si>
  <si>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</si>
  <si>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</si>
  <si>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</si>
  <si>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</si>
  <si>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</si>
  <si>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</si>
  <si>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</si>
  <si>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</si>
  <si>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</si>
  <si>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</si>
  <si>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</si>
  <si>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</si>
  <si>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</si>
  <si>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</si>
  <si>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</si>
  <si>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</si>
  <si>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</si>
  <si>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</si>
  <si>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</si>
  <si>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</si>
  <si>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</si>
  <si>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</si>
  <si>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</si>
  <si>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</si>
  <si>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</si>
  <si>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</si>
  <si>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</si>
  <si>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</si>
  <si>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</si>
  <si>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</si>
  <si>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</si>
  <si>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</si>
  <si>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</si>
  <si>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</si>
  <si>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</si>
  <si>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</si>
  <si>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</si>
  <si>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</si>
  <si>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</si>
  <si>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</si>
  <si>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</si>
  <si>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</si>
  <si>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</si>
  <si>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</si>
  <si>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</si>
  <si>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</si>
  <si>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</si>
  <si>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</si>
  <si>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</si>
  <si>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</si>
  <si>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</si>
  <si>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</si>
  <si>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</si>
  <si>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</si>
  <si>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</si>
  <si>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</si>
  <si>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</si>
  <si>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</si>
  <si>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</si>
  <si>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</si>
  <si>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</si>
  <si>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</si>
  <si>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</si>
  <si>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</si>
  <si>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</si>
  <si>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</si>
  <si>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</si>
  <si>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</si>
  <si>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</si>
  <si>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</si>
  <si>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</si>
  <si>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</si>
  <si>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</si>
  <si>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</si>
  <si>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</si>
  <si>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</si>
  <si>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</si>
  <si>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</si>
  <si>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</si>
  <si>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</si>
  <si>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</si>
  <si>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</si>
  <si>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</si>
  <si>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</si>
  <si>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</si>
  <si>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</si>
  <si>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</si>
  <si>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</si>
  <si>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</si>
  <si>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</si>
  <si>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</si>
  <si>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</si>
  <si>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</si>
  <si>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</si>
  <si>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</si>
  <si>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</si>
  <si>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</si>
  <si>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</si>
  <si>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</si>
  <si>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</si>
  <si>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</si>
  <si>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</si>
  <si>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</si>
  <si>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</si>
  <si>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</si>
  <si>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</si>
  <si>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</si>
  <si>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</si>
  <si>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</si>
  <si>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</si>
  <si>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</si>
  <si>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</si>
  <si>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</si>
  <si>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</si>
  <si>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</si>
  <si>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</si>
  <si>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</si>
  <si>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</si>
  <si>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</si>
  <si>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</si>
  <si>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</si>
  <si>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outlier Productivity</t>
  </si>
  <si>
    <t>Row Labels</t>
  </si>
  <si>
    <t>Count of gender</t>
  </si>
  <si>
    <t>Grand Total</t>
  </si>
  <si>
    <t>Count of occupation</t>
  </si>
  <si>
    <t>Count of work_mode</t>
  </si>
  <si>
    <t>Average of age</t>
  </si>
  <si>
    <t xml:space="preserve">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</si>
  <si>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</si>
  <si>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</si>
  <si>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</si>
  <si>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</si>
  <si>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</si>
  <si>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</si>
  <si>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</si>
  <si>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</si>
  <si>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</si>
  <si>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</si>
  <si>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</si>
  <si>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</si>
  <si>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</si>
  <si>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Q1</t>
  </si>
  <si>
    <t>Upper</t>
  </si>
  <si>
    <t>Q3</t>
  </si>
  <si>
    <t>Lower</t>
  </si>
  <si>
    <t>IQR</t>
  </si>
  <si>
    <t>Productivity</t>
  </si>
  <si>
    <t>Stess 0-100</t>
  </si>
  <si>
    <t>Stress</t>
  </si>
  <si>
    <t>Average (0-100)</t>
  </si>
  <si>
    <t>SUMMARY OUTPUT</t>
  </si>
  <si>
    <t>Regression Statistics</t>
  </si>
  <si>
    <t>Multiple R</t>
  </si>
  <si>
    <t>R Square</t>
  </si>
  <si>
    <t>High R Square shows a signoficant impact of stress on productivity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</si>
  <si>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</si>
  <si>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</si>
  <si>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</si>
  <si>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</si>
  <si>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</si>
  <si>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</si>
  <si>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</si>
  <si>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</si>
  <si>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</si>
  <si>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</si>
  <si>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</si>
  <si>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</si>
  <si>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</si>
  <si>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</si>
  <si>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</si>
  <si>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</si>
  <si>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</si>
  <si>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</si>
  <si>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</si>
  <si>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</si>
  <si>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Column2</t>
  </si>
  <si>
    <t>Anova: Single Factor</t>
  </si>
  <si>
    <t>SUMMARY</t>
  </si>
  <si>
    <t>Groups</t>
  </si>
  <si>
    <t>Average</t>
  </si>
  <si>
    <t>Variance</t>
  </si>
  <si>
    <t>Source of Variation</t>
  </si>
  <si>
    <t>F crit</t>
  </si>
  <si>
    <t>Between Groups</t>
  </si>
  <si>
    <t>Within Groups</t>
  </si>
  <si>
    <t>Prod</t>
  </si>
  <si>
    <t xml:space="preserve"> Lower</t>
  </si>
  <si>
    <t>Screen time (hours)</t>
  </si>
  <si>
    <t>Outliers</t>
  </si>
  <si>
    <t>Validity</t>
  </si>
  <si>
    <t xml:space="preserve">Valid </t>
  </si>
  <si>
    <t>Workmode is in-person so makes sense that screen time is low</t>
  </si>
  <si>
    <t>Invalid</t>
  </si>
  <si>
    <t>Workmode is remote, but work screen is less than leisure screen time</t>
  </si>
  <si>
    <t>Workmode is remote, but only have 3 hours of work screen time</t>
  </si>
  <si>
    <t>Workmode is hybrid, but only 2 hours of work screen time</t>
  </si>
  <si>
    <t>Valid</t>
  </si>
  <si>
    <t>Currently umemployed so makes sense that screen time is low</t>
  </si>
  <si>
    <t>Workmode is remote so makes sense that screen time is high</t>
  </si>
  <si>
    <t>Currently retired so makes sense that screen time is low</t>
  </si>
  <si>
    <t>Statistical Test (Regression)</t>
  </si>
  <si>
    <t>Productivity VS Screen time</t>
  </si>
  <si>
    <t>Moderately strong relationship</t>
  </si>
  <si>
    <t>46.3 percent of the change in productivity is because of screen time</t>
  </si>
  <si>
    <t>Negative X variable means an inverse relationship</t>
  </si>
  <si>
    <t>Low P value number means that the relationship is not random</t>
  </si>
  <si>
    <t>Screen time definitely has a negative effect on productivity</t>
  </si>
  <si>
    <t>Productivity VS Work Screen time</t>
  </si>
  <si>
    <t>Weak relationship compared to pure screen time</t>
  </si>
  <si>
    <t>Work screen time only affects 9.8 percent of productivity</t>
  </si>
  <si>
    <t>Negative coefficient meaning inverse relationship</t>
  </si>
  <si>
    <t>P value still close to zero meaning no randomness</t>
  </si>
  <si>
    <t>Summary: Although it has less impact, work screen time still affects productivity is a negative manner.</t>
  </si>
  <si>
    <t>Productivity VS Leisure screen time</t>
  </si>
  <si>
    <t>Stonger relationship between productivity and leisure screen time than work screen time</t>
  </si>
  <si>
    <t>X Affects 21.3 percent of Y</t>
  </si>
  <si>
    <t>Still negative coefficient</t>
  </si>
  <si>
    <t>P value is still way smaller than 0.05 so it is not random</t>
  </si>
  <si>
    <t>Summary: Screen time in general affects productivity in a negative manner, but leisure screen time affects productivity more significantly than work screen time.</t>
  </si>
  <si>
    <t>Productivity vs Exercise Minutes</t>
  </si>
  <si>
    <t>Analysis</t>
  </si>
  <si>
    <t>There is a statiscally significant relationship between Productivity and Exercise Minutes per week because the p-value is low (0.08)</t>
  </si>
  <si>
    <t>However, it shows weak relationship and is not practically useful with a low Multiple R and R Square value of 0.1319 and 0.0174 respectively.</t>
  </si>
  <si>
    <t xml:space="preserve">The 0.028 Coefficients of Exercise Minutes per week confirms the insignificant validity to the relationship.  </t>
  </si>
  <si>
    <t>Productivity vs Social Hours</t>
  </si>
  <si>
    <t>There is a statiscally significant relationship between Social Hours per week and Productivity, Because the p-value, which is 0.019,</t>
  </si>
  <si>
    <t>is less than 0.05 which is a standard cut off of 95 CI.</t>
  </si>
  <si>
    <t>However, the relationship is extremely weak and not practically useful, its weakness can be explained by the low value of Multiple R (0.117) and R Square (0.014).</t>
  </si>
  <si>
    <t>Our model gives the Coefficients of Social Hours of 0.359. This means that  for every additional 1  social hours per week, Productivity is predicted to increase by  0.359,</t>
  </si>
  <si>
    <t>which is a very small effect and confirms the weakness of this relationship.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</si>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</sst>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5" x14ac:knownFonts="1">
    <font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1" fontId="0" fillId="0" borderId="0" xfId="0" applyNumberFormat="1"/>
    <xf numFmtId="187" fontId="0" fillId="0" borderId="0" xfId="0" applyNumberFormat="1"/>
    <xf numFmtId="9" fontId="0" fillId="0" borderId="0" xfId="1" applyFont="1"/>
    <xf numFmtId="0" fontId="0" fillId="5" borderId="0" xfId="0" applyFill="1"/>
    <xf numFmtId="0" fontId="0" fillId="0" borderId="5" xfId="0" applyBorder="1"/>
    <xf numFmtId="0" fontId="0" fillId="2" borderId="5" xfId="0" applyFill="1" applyBorder="1"/>
    <xf numFmtId="0" fontId="4" fillId="0" borderId="0" xfId="0" applyFont="1"/>
    <xf numFmtId="0" fontId="0" fillId="4" borderId="1" xfId="0" applyFill="1" applyBorder="1"/>
    <xf numFmtId="2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2" xfId="0" applyFont="1" applyBorder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8DBCE7"/>
      <color rgb="FFFF7C80"/>
      <color rgb="FF47008E"/>
      <color rgb="FF9933FF"/>
      <color rgb="FFB25FD3"/>
      <color rgb="FFB230A3"/>
      <color rgb="FFFFFF66"/>
      <color rgb="FF0E96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0">
              <a:noFill/>
            </a:ln>
          </c:spPr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B3-48C8-B2D0-12BFF51004CA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0B3-48C8-B2D0-12BFF51004CA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B3-48C8-B2D0-12BFF51004CA}"/>
              </c:ext>
            </c:extLst>
          </c:dPt>
          <c:dLbls>
            <c:dLbl>
              <c:idx val="0"/>
              <c:layout>
                <c:manualLayout>
                  <c:x val="5.3991124448434603E-2"/>
                  <c:y val="-0.1775632647600621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3-48C8-B2D0-12BFF51004CA}"/>
                </c:ext>
              </c:extLst>
            </c:dLbl>
            <c:dLbl>
              <c:idx val="1"/>
              <c:layout>
                <c:manualLayout>
                  <c:x val="-7.3591608632293023E-3"/>
                  <c:y val="-0.1388434794572288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3-48C8-B2D0-12BFF51004CA}"/>
                </c:ext>
              </c:extLst>
            </c:dLbl>
            <c:dLbl>
              <c:idx val="2"/>
              <c:layout>
                <c:manualLayout>
                  <c:x val="-3.924939609012295E-2"/>
                  <c:y val="7.7557872369378282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759429141061721"/>
                      <c:h val="0.138046252397620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0B3-48C8-B2D0-12BFF5100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'General Info Of Data set'!$D$2:$D$4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Non-binary/Other</c:v>
                </c:pt>
              </c:strCache>
            </c:strRef>
          </c:cat>
          <c:val>
            <c:numRef>
              <c:f>'General Info Of Data set'!$F$2:$F$4</c:f>
              <c:numCache>
                <c:formatCode>0%</c:formatCode>
                <c:ptCount val="3"/>
                <c:pt idx="0">
                  <c:v>0.55216284987277353</c:v>
                </c:pt>
                <c:pt idx="1">
                  <c:v>0.42748091603053434</c:v>
                </c:pt>
                <c:pt idx="2">
                  <c:v>2.0356234096692113E-2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3-48C8-B2D0-12BFF51004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725909606852571"/>
          <c:y val="0.55028668407754933"/>
          <c:w val="0.37199378118463761"/>
          <c:h val="0.32428999729268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DM Sans" pitchFamily="2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C-4A77-A9A9-2333C528EE6A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D6C-4A77-A9A9-2333C528EE6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C-4A77-A9A9-2333C528EE6A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D6C-4A77-A9A9-2333C528EE6A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C-4A77-A9A9-2333C528EE6A}"/>
              </c:ext>
            </c:extLst>
          </c:dPt>
          <c:dLbls>
            <c:dLbl>
              <c:idx val="0"/>
              <c:layout>
                <c:manualLayout>
                  <c:x val="1.3089514128060606E-2"/>
                  <c:y val="-0.2642599401826954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6C-4A77-A9A9-2333C528EE6A}"/>
                </c:ext>
              </c:extLst>
            </c:dLbl>
            <c:dLbl>
              <c:idx val="1"/>
              <c:layout>
                <c:manualLayout>
                  <c:x val="-7.335474738795097E-3"/>
                  <c:y val="2.778385930770358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6C-4A77-A9A9-2333C528EE6A}"/>
                </c:ext>
              </c:extLst>
            </c:dLbl>
            <c:dLbl>
              <c:idx val="2"/>
              <c:layout>
                <c:manualLayout>
                  <c:x val="-7.2075393179622374E-2"/>
                  <c:y val="0.1601026687000807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74446397329065"/>
                      <c:h val="0.212991707288167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D6C-4A77-A9A9-2333C528EE6A}"/>
                </c:ext>
              </c:extLst>
            </c:dLbl>
            <c:dLbl>
              <c:idx val="3"/>
              <c:layout>
                <c:manualLayout>
                  <c:x val="-0.12280760941756422"/>
                  <c:y val="3.564712156510511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6C-4A77-A9A9-2333C528EE6A}"/>
                </c:ext>
              </c:extLst>
            </c:dLbl>
            <c:dLbl>
              <c:idx val="4"/>
              <c:layout>
                <c:manualLayout>
                  <c:x val="-4.5475931436607865E-2"/>
                  <c:y val="-1.8103934905798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/>
                      </a:solidFill>
                      <a:latin typeface="DM Sans" pitchFamily="2" charset="0"/>
                      <a:ea typeface="+mn-ea"/>
                      <a:cs typeface="+mn-cs"/>
                    </a:defRPr>
                  </a:pPr>
                  <a:endParaRPr lang="th-TH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22269607737655"/>
                      <c:h val="5.143103077254142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D6C-4A77-A9A9-2333C528EE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DM Sans" pitchFamily="2" charset="0"/>
                    <a:ea typeface="+mn-ea"/>
                    <a:cs typeface="+mn-cs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'General Info Of Data set'!$D$7:$D$11</c:f>
              <c:strCache>
                <c:ptCount val="5"/>
                <c:pt idx="0">
                  <c:v>Employed</c:v>
                </c:pt>
                <c:pt idx="1">
                  <c:v>Student</c:v>
                </c:pt>
                <c:pt idx="2">
                  <c:v>Self-employed</c:v>
                </c:pt>
                <c:pt idx="3">
                  <c:v>Unemployed</c:v>
                </c:pt>
                <c:pt idx="4">
                  <c:v>Retired</c:v>
                </c:pt>
              </c:strCache>
            </c:strRef>
          </c:cat>
          <c:val>
            <c:numRef>
              <c:f>'General Info Of Data set'!$F$7:$F$11</c:f>
              <c:numCache>
                <c:formatCode>0%</c:formatCode>
                <c:ptCount val="5"/>
                <c:pt idx="0">
                  <c:v>0.52162849872773542</c:v>
                </c:pt>
                <c:pt idx="1">
                  <c:v>0.26972010178117051</c:v>
                </c:pt>
                <c:pt idx="2">
                  <c:v>0.10941475826972011</c:v>
                </c:pt>
                <c:pt idx="3">
                  <c:v>6.6157760814249358E-2</c:v>
                </c:pt>
                <c:pt idx="4">
                  <c:v>3.3078880407124679E-2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C-4A77-A9A9-2333C528EE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DM Sans" pitchFamily="2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B-498D-8EC0-D3371D9FDA3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1B-498D-8EC0-D3371D9FDA3C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61B-498D-8EC0-D3371D9FDA3C}"/>
              </c:ext>
            </c:extLst>
          </c:dPt>
          <c:dLbls>
            <c:dLbl>
              <c:idx val="0"/>
              <c:layout>
                <c:manualLayout>
                  <c:x val="6.9064669492762215E-2"/>
                  <c:y val="-0.1218737129384837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98600180417424"/>
                      <c:h val="0.168633659998479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61B-498D-8EC0-D3371D9FDA3C}"/>
                </c:ext>
              </c:extLst>
            </c:dLbl>
            <c:dLbl>
              <c:idx val="1"/>
              <c:layout>
                <c:manualLayout>
                  <c:x val="-9.9134060178664149E-2"/>
                  <c:y val="-2.8913414467227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1B-498D-8EC0-D3371D9FDA3C}"/>
                </c:ext>
              </c:extLst>
            </c:dLbl>
            <c:dLbl>
              <c:idx val="2"/>
              <c:layout>
                <c:manualLayout>
                  <c:x val="5.5634105811385656E-3"/>
                  <c:y val="-3.38601503277681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93000599305583"/>
                      <c:h val="0.1686336599984794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61B-498D-8EC0-D3371D9FDA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DM Sans" pitchFamily="2" charset="0"/>
                    <a:ea typeface="+mn-ea"/>
                    <a:cs typeface="+mn-cs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'General Info Of Data set'!$D$15:$D$17</c:f>
              <c:strCache>
                <c:ptCount val="3"/>
                <c:pt idx="0">
                  <c:v>Remote</c:v>
                </c:pt>
                <c:pt idx="1">
                  <c:v>Hybrid</c:v>
                </c:pt>
                <c:pt idx="2">
                  <c:v>In-person</c:v>
                </c:pt>
              </c:strCache>
            </c:strRef>
          </c:cat>
          <c:val>
            <c:numRef>
              <c:f>'General Info Of Data set'!$F$15:$F$17</c:f>
              <c:numCache>
                <c:formatCode>0%</c:formatCode>
                <c:ptCount val="3"/>
                <c:pt idx="0">
                  <c:v>0.38167938931297712</c:v>
                </c:pt>
                <c:pt idx="1">
                  <c:v>0.35877862595419846</c:v>
                </c:pt>
                <c:pt idx="2">
                  <c:v>0.25954198473282442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B-498D-8EC0-D3371D9FD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DM Sans" pitchFamily="2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DM Sans" pitchFamily="2" charset="0"/>
                <a:ea typeface="+mn-ea"/>
                <a:cs typeface="+mn-cs"/>
              </a:defRPr>
            </a:pPr>
            <a:r>
              <a:rPr lang="en-US" b="1" i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Stess and Productivity In Different Work Modes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DM Sans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'Stress And Productivity'!$R$20</c:f>
              <c:strCache>
                <c:ptCount val="1"/>
                <c:pt idx="0">
                  <c:v>Stress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'Stress And Productivity'!$Q$21:$Q$23</c:f>
              <c:strCache>
                <c:ptCount val="3"/>
                <c:pt idx="0">
                  <c:v>Remote</c:v>
                </c:pt>
                <c:pt idx="1">
                  <c:v>In-person</c:v>
                </c:pt>
                <c:pt idx="2">
                  <c:v>Hybrid</c:v>
                </c:pt>
              </c:strCache>
            </c:strRef>
          </c:cat>
          <c:val>
            <c:numRef>
              <c:f>'Stress And Productivity'!$R$21:$R$23</c:f>
              <c:numCache>
                <c:formatCode>0</c:formatCode>
                <c:ptCount val="3"/>
                <c:pt idx="0">
                  <c:v>86.3</c:v>
                </c:pt>
                <c:pt idx="1">
                  <c:v>77.950980392156865</c:v>
                </c:pt>
                <c:pt idx="2">
                  <c:v>82.092198581560282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C-4B5C-9B11-807A7D3BDD61}"/>
            </c:ext>
          </c:extLst>
        </c:ser>
        <c:ser>
          <c:idx val="1"/>
          <c:order val="1"/>
          <c:tx>
            <c:strRef>
              <c:f>'Stress And Productivity'!$S$20</c:f>
              <c:strCache>
                <c:ptCount val="1"/>
                <c:pt idx="0">
                  <c:v>Productivity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'Stress And Productivity'!$Q$21:$Q$23</c:f>
              <c:strCache>
                <c:ptCount val="3"/>
                <c:pt idx="0">
                  <c:v>Remote</c:v>
                </c:pt>
                <c:pt idx="1">
                  <c:v>In-person</c:v>
                </c:pt>
                <c:pt idx="2">
                  <c:v>Hybrid</c:v>
                </c:pt>
              </c:strCache>
            </c:strRef>
          </c:cat>
          <c:val>
            <c:numRef>
              <c:f>'Stress And Productivity'!$S$21:$S$23</c:f>
              <c:numCache>
                <c:formatCode>0</c:formatCode>
                <c:ptCount val="3"/>
                <c:pt idx="0">
                  <c:v>50.168000000000006</c:v>
                </c:pt>
                <c:pt idx="1">
                  <c:v>57.056862745098059</c:v>
                </c:pt>
                <c:pt idx="2">
                  <c:v>54.52411347517733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C-4B5C-9B11-807A7D3B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298687"/>
        <c:axId val="1986300127"/>
      </c:barChart>
      <c:catAx>
        <c:axId val="198629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M Sans" pitchFamily="2" charset="0"/>
                <a:ea typeface="+mn-ea"/>
                <a:cs typeface="+mn-cs"/>
              </a:defRPr>
            </a:pPr>
            <a:endParaRPr lang="th-TH"/>
          </a:p>
        </c:txPr>
        <c:crossAx val="1986300127"/>
        <c:crosses val="autoZero"/>
        <c:auto val="1"/>
        <c:lblAlgn val="ctr"/>
        <c:lblOffset val="100"/>
        <c:noMultiLvlLbl val="0"/>
      </c:catAx>
      <c:valAx>
        <c:axId val="198630012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M Sans" pitchFamily="2" charset="0"/>
                <a:ea typeface="+mn-ea"/>
                <a:cs typeface="+mn-cs"/>
              </a:defRPr>
            </a:pPr>
            <a:endParaRPr lang="th-TH"/>
          </a:p>
        </c:txPr>
        <c:crossAx val="198629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DM Sans" pitchFamily="2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latin typeface="DM Sans" pitchFamily="2" charset="0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DM Sans" pitchFamily="2" charset="0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  <a:latin typeface="DM Sans" pitchFamily="2" charset="0"/>
              </a:rPr>
              <a:t>Stress Vs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DM Sans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rgbClr val="8DBCE7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2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'Stress And Productivity'!$G$2:$G$394</c:f>
              <c:numCache>
                <c:formatCode>0</c:formatCode>
                <c:ptCount val="393"/>
                <c:pt idx="0">
                  <c:v>93</c:v>
                </c:pt>
                <c:pt idx="1">
                  <c:v>57</c:v>
                </c:pt>
                <c:pt idx="2">
                  <c:v>91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61</c:v>
                </c:pt>
                <c:pt idx="7">
                  <c:v>54</c:v>
                </c:pt>
                <c:pt idx="8">
                  <c:v>16</c:v>
                </c:pt>
                <c:pt idx="9">
                  <c:v>100</c:v>
                </c:pt>
                <c:pt idx="10">
                  <c:v>88</c:v>
                </c:pt>
                <c:pt idx="11">
                  <c:v>46</c:v>
                </c:pt>
                <c:pt idx="12">
                  <c:v>100</c:v>
                </c:pt>
                <c:pt idx="13">
                  <c:v>63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70</c:v>
                </c:pt>
                <c:pt idx="18">
                  <c:v>42</c:v>
                </c:pt>
                <c:pt idx="19">
                  <c:v>94</c:v>
                </c:pt>
                <c:pt idx="20">
                  <c:v>100</c:v>
                </c:pt>
                <c:pt idx="21">
                  <c:v>81</c:v>
                </c:pt>
                <c:pt idx="22">
                  <c:v>51</c:v>
                </c:pt>
                <c:pt idx="23">
                  <c:v>37</c:v>
                </c:pt>
                <c:pt idx="24">
                  <c:v>98</c:v>
                </c:pt>
                <c:pt idx="25">
                  <c:v>100</c:v>
                </c:pt>
                <c:pt idx="26">
                  <c:v>100</c:v>
                </c:pt>
                <c:pt idx="27">
                  <c:v>70</c:v>
                </c:pt>
                <c:pt idx="28">
                  <c:v>76</c:v>
                </c:pt>
                <c:pt idx="29">
                  <c:v>100</c:v>
                </c:pt>
                <c:pt idx="30">
                  <c:v>85</c:v>
                </c:pt>
                <c:pt idx="31">
                  <c:v>100</c:v>
                </c:pt>
                <c:pt idx="32">
                  <c:v>70</c:v>
                </c:pt>
                <c:pt idx="33">
                  <c:v>99</c:v>
                </c:pt>
                <c:pt idx="34">
                  <c:v>100</c:v>
                </c:pt>
                <c:pt idx="35">
                  <c:v>84</c:v>
                </c:pt>
                <c:pt idx="36">
                  <c:v>95</c:v>
                </c:pt>
                <c:pt idx="37">
                  <c:v>65</c:v>
                </c:pt>
                <c:pt idx="38">
                  <c:v>90</c:v>
                </c:pt>
                <c:pt idx="39">
                  <c:v>100</c:v>
                </c:pt>
                <c:pt idx="40">
                  <c:v>72</c:v>
                </c:pt>
                <c:pt idx="41">
                  <c:v>84</c:v>
                </c:pt>
                <c:pt idx="42">
                  <c:v>38</c:v>
                </c:pt>
                <c:pt idx="43">
                  <c:v>100</c:v>
                </c:pt>
                <c:pt idx="44">
                  <c:v>74</c:v>
                </c:pt>
                <c:pt idx="45">
                  <c:v>41</c:v>
                </c:pt>
                <c:pt idx="46">
                  <c:v>89</c:v>
                </c:pt>
                <c:pt idx="47">
                  <c:v>100</c:v>
                </c:pt>
                <c:pt idx="48">
                  <c:v>93</c:v>
                </c:pt>
                <c:pt idx="49">
                  <c:v>100</c:v>
                </c:pt>
                <c:pt idx="50">
                  <c:v>65</c:v>
                </c:pt>
                <c:pt idx="51">
                  <c:v>100</c:v>
                </c:pt>
                <c:pt idx="52">
                  <c:v>88</c:v>
                </c:pt>
                <c:pt idx="53">
                  <c:v>98</c:v>
                </c:pt>
                <c:pt idx="54">
                  <c:v>72</c:v>
                </c:pt>
                <c:pt idx="55">
                  <c:v>94</c:v>
                </c:pt>
                <c:pt idx="56">
                  <c:v>56</c:v>
                </c:pt>
                <c:pt idx="57">
                  <c:v>69</c:v>
                </c:pt>
                <c:pt idx="58">
                  <c:v>72</c:v>
                </c:pt>
                <c:pt idx="59">
                  <c:v>97</c:v>
                </c:pt>
                <c:pt idx="60">
                  <c:v>100</c:v>
                </c:pt>
                <c:pt idx="61">
                  <c:v>94</c:v>
                </c:pt>
                <c:pt idx="62">
                  <c:v>100</c:v>
                </c:pt>
                <c:pt idx="63">
                  <c:v>84</c:v>
                </c:pt>
                <c:pt idx="64">
                  <c:v>100</c:v>
                </c:pt>
                <c:pt idx="65">
                  <c:v>26</c:v>
                </c:pt>
                <c:pt idx="66">
                  <c:v>100</c:v>
                </c:pt>
                <c:pt idx="67">
                  <c:v>74</c:v>
                </c:pt>
                <c:pt idx="68">
                  <c:v>51</c:v>
                </c:pt>
                <c:pt idx="69">
                  <c:v>70</c:v>
                </c:pt>
                <c:pt idx="70">
                  <c:v>77</c:v>
                </c:pt>
                <c:pt idx="71">
                  <c:v>100</c:v>
                </c:pt>
                <c:pt idx="72">
                  <c:v>46</c:v>
                </c:pt>
                <c:pt idx="73">
                  <c:v>92</c:v>
                </c:pt>
                <c:pt idx="74">
                  <c:v>54</c:v>
                </c:pt>
                <c:pt idx="75">
                  <c:v>100</c:v>
                </c:pt>
                <c:pt idx="76">
                  <c:v>68</c:v>
                </c:pt>
                <c:pt idx="77">
                  <c:v>22</c:v>
                </c:pt>
                <c:pt idx="78">
                  <c:v>100</c:v>
                </c:pt>
                <c:pt idx="79">
                  <c:v>45</c:v>
                </c:pt>
                <c:pt idx="80">
                  <c:v>94</c:v>
                </c:pt>
                <c:pt idx="81">
                  <c:v>30</c:v>
                </c:pt>
                <c:pt idx="82">
                  <c:v>82</c:v>
                </c:pt>
                <c:pt idx="83">
                  <c:v>71</c:v>
                </c:pt>
                <c:pt idx="84">
                  <c:v>46</c:v>
                </c:pt>
                <c:pt idx="85">
                  <c:v>63</c:v>
                </c:pt>
                <c:pt idx="86">
                  <c:v>91</c:v>
                </c:pt>
                <c:pt idx="87">
                  <c:v>93</c:v>
                </c:pt>
                <c:pt idx="88">
                  <c:v>64</c:v>
                </c:pt>
                <c:pt idx="89">
                  <c:v>62</c:v>
                </c:pt>
                <c:pt idx="90">
                  <c:v>100</c:v>
                </c:pt>
                <c:pt idx="91">
                  <c:v>100</c:v>
                </c:pt>
                <c:pt idx="92">
                  <c:v>83</c:v>
                </c:pt>
                <c:pt idx="93">
                  <c:v>88</c:v>
                </c:pt>
                <c:pt idx="94">
                  <c:v>100</c:v>
                </c:pt>
                <c:pt idx="95">
                  <c:v>83</c:v>
                </c:pt>
                <c:pt idx="96">
                  <c:v>89</c:v>
                </c:pt>
                <c:pt idx="97">
                  <c:v>68</c:v>
                </c:pt>
                <c:pt idx="98">
                  <c:v>77</c:v>
                </c:pt>
                <c:pt idx="99">
                  <c:v>92</c:v>
                </c:pt>
                <c:pt idx="100">
                  <c:v>95</c:v>
                </c:pt>
                <c:pt idx="101">
                  <c:v>51</c:v>
                </c:pt>
                <c:pt idx="102">
                  <c:v>70</c:v>
                </c:pt>
                <c:pt idx="103">
                  <c:v>100</c:v>
                </c:pt>
                <c:pt idx="104">
                  <c:v>43</c:v>
                </c:pt>
                <c:pt idx="105">
                  <c:v>95</c:v>
                </c:pt>
                <c:pt idx="106">
                  <c:v>100</c:v>
                </c:pt>
                <c:pt idx="107">
                  <c:v>100</c:v>
                </c:pt>
                <c:pt idx="108">
                  <c:v>96</c:v>
                </c:pt>
                <c:pt idx="109">
                  <c:v>50</c:v>
                </c:pt>
                <c:pt idx="110">
                  <c:v>100</c:v>
                </c:pt>
                <c:pt idx="111">
                  <c:v>92</c:v>
                </c:pt>
                <c:pt idx="112">
                  <c:v>71</c:v>
                </c:pt>
                <c:pt idx="113">
                  <c:v>100</c:v>
                </c:pt>
                <c:pt idx="114">
                  <c:v>69</c:v>
                </c:pt>
                <c:pt idx="115">
                  <c:v>93</c:v>
                </c:pt>
                <c:pt idx="116">
                  <c:v>84</c:v>
                </c:pt>
                <c:pt idx="117">
                  <c:v>100</c:v>
                </c:pt>
                <c:pt idx="118">
                  <c:v>100</c:v>
                </c:pt>
                <c:pt idx="119">
                  <c:v>67</c:v>
                </c:pt>
                <c:pt idx="120">
                  <c:v>66</c:v>
                </c:pt>
                <c:pt idx="121">
                  <c:v>100</c:v>
                </c:pt>
                <c:pt idx="122">
                  <c:v>81</c:v>
                </c:pt>
                <c:pt idx="123">
                  <c:v>94</c:v>
                </c:pt>
                <c:pt idx="124">
                  <c:v>48</c:v>
                </c:pt>
                <c:pt idx="125">
                  <c:v>89</c:v>
                </c:pt>
                <c:pt idx="126">
                  <c:v>100</c:v>
                </c:pt>
                <c:pt idx="127">
                  <c:v>79</c:v>
                </c:pt>
                <c:pt idx="128">
                  <c:v>37</c:v>
                </c:pt>
                <c:pt idx="129">
                  <c:v>83</c:v>
                </c:pt>
                <c:pt idx="130">
                  <c:v>88</c:v>
                </c:pt>
                <c:pt idx="131">
                  <c:v>100</c:v>
                </c:pt>
                <c:pt idx="132">
                  <c:v>64</c:v>
                </c:pt>
                <c:pt idx="133">
                  <c:v>58</c:v>
                </c:pt>
                <c:pt idx="134">
                  <c:v>100</c:v>
                </c:pt>
                <c:pt idx="135">
                  <c:v>100</c:v>
                </c:pt>
                <c:pt idx="136">
                  <c:v>52</c:v>
                </c:pt>
                <c:pt idx="137">
                  <c:v>85</c:v>
                </c:pt>
                <c:pt idx="138">
                  <c:v>100</c:v>
                </c:pt>
                <c:pt idx="139">
                  <c:v>68</c:v>
                </c:pt>
                <c:pt idx="140">
                  <c:v>29</c:v>
                </c:pt>
                <c:pt idx="141">
                  <c:v>55</c:v>
                </c:pt>
                <c:pt idx="142">
                  <c:v>62</c:v>
                </c:pt>
                <c:pt idx="143">
                  <c:v>100</c:v>
                </c:pt>
                <c:pt idx="144">
                  <c:v>100</c:v>
                </c:pt>
                <c:pt idx="145">
                  <c:v>36</c:v>
                </c:pt>
                <c:pt idx="146">
                  <c:v>90</c:v>
                </c:pt>
                <c:pt idx="147">
                  <c:v>100</c:v>
                </c:pt>
                <c:pt idx="148">
                  <c:v>82</c:v>
                </c:pt>
                <c:pt idx="149">
                  <c:v>95</c:v>
                </c:pt>
                <c:pt idx="150">
                  <c:v>79</c:v>
                </c:pt>
                <c:pt idx="151">
                  <c:v>55</c:v>
                </c:pt>
                <c:pt idx="152">
                  <c:v>100</c:v>
                </c:pt>
                <c:pt idx="153">
                  <c:v>99</c:v>
                </c:pt>
                <c:pt idx="154">
                  <c:v>100</c:v>
                </c:pt>
                <c:pt idx="155">
                  <c:v>78</c:v>
                </c:pt>
                <c:pt idx="156">
                  <c:v>84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51</c:v>
                </c:pt>
                <c:pt idx="162">
                  <c:v>100</c:v>
                </c:pt>
                <c:pt idx="163">
                  <c:v>67</c:v>
                </c:pt>
                <c:pt idx="164">
                  <c:v>83</c:v>
                </c:pt>
                <c:pt idx="165">
                  <c:v>69</c:v>
                </c:pt>
                <c:pt idx="166">
                  <c:v>100</c:v>
                </c:pt>
                <c:pt idx="167">
                  <c:v>87</c:v>
                </c:pt>
                <c:pt idx="168">
                  <c:v>79</c:v>
                </c:pt>
                <c:pt idx="169">
                  <c:v>100</c:v>
                </c:pt>
                <c:pt idx="170">
                  <c:v>91</c:v>
                </c:pt>
                <c:pt idx="171">
                  <c:v>100</c:v>
                </c:pt>
                <c:pt idx="172">
                  <c:v>41</c:v>
                </c:pt>
                <c:pt idx="173">
                  <c:v>100</c:v>
                </c:pt>
                <c:pt idx="174">
                  <c:v>83</c:v>
                </c:pt>
                <c:pt idx="175">
                  <c:v>63</c:v>
                </c:pt>
                <c:pt idx="176">
                  <c:v>100</c:v>
                </c:pt>
                <c:pt idx="177">
                  <c:v>63</c:v>
                </c:pt>
                <c:pt idx="178">
                  <c:v>100</c:v>
                </c:pt>
                <c:pt idx="179">
                  <c:v>80</c:v>
                </c:pt>
                <c:pt idx="180">
                  <c:v>57</c:v>
                </c:pt>
                <c:pt idx="181">
                  <c:v>68</c:v>
                </c:pt>
                <c:pt idx="182">
                  <c:v>100</c:v>
                </c:pt>
                <c:pt idx="183">
                  <c:v>100</c:v>
                </c:pt>
                <c:pt idx="184">
                  <c:v>74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64</c:v>
                </c:pt>
                <c:pt idx="189">
                  <c:v>91</c:v>
                </c:pt>
                <c:pt idx="190">
                  <c:v>100</c:v>
                </c:pt>
                <c:pt idx="191">
                  <c:v>100</c:v>
                </c:pt>
                <c:pt idx="192">
                  <c:v>74</c:v>
                </c:pt>
                <c:pt idx="193">
                  <c:v>100</c:v>
                </c:pt>
                <c:pt idx="194">
                  <c:v>70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85</c:v>
                </c:pt>
                <c:pt idx="199">
                  <c:v>66</c:v>
                </c:pt>
                <c:pt idx="200">
                  <c:v>64</c:v>
                </c:pt>
                <c:pt idx="201">
                  <c:v>100</c:v>
                </c:pt>
                <c:pt idx="202">
                  <c:v>94</c:v>
                </c:pt>
                <c:pt idx="203">
                  <c:v>98</c:v>
                </c:pt>
                <c:pt idx="204">
                  <c:v>100</c:v>
                </c:pt>
                <c:pt idx="205">
                  <c:v>96</c:v>
                </c:pt>
                <c:pt idx="206">
                  <c:v>100</c:v>
                </c:pt>
                <c:pt idx="207">
                  <c:v>93</c:v>
                </c:pt>
                <c:pt idx="208">
                  <c:v>92</c:v>
                </c:pt>
                <c:pt idx="209">
                  <c:v>65</c:v>
                </c:pt>
                <c:pt idx="210">
                  <c:v>92</c:v>
                </c:pt>
                <c:pt idx="211">
                  <c:v>100</c:v>
                </c:pt>
                <c:pt idx="212">
                  <c:v>83</c:v>
                </c:pt>
                <c:pt idx="213">
                  <c:v>100</c:v>
                </c:pt>
                <c:pt idx="214">
                  <c:v>100</c:v>
                </c:pt>
                <c:pt idx="215">
                  <c:v>84</c:v>
                </c:pt>
                <c:pt idx="216">
                  <c:v>64</c:v>
                </c:pt>
                <c:pt idx="217">
                  <c:v>100</c:v>
                </c:pt>
                <c:pt idx="218">
                  <c:v>54</c:v>
                </c:pt>
                <c:pt idx="219">
                  <c:v>100</c:v>
                </c:pt>
                <c:pt idx="220">
                  <c:v>74</c:v>
                </c:pt>
                <c:pt idx="221">
                  <c:v>74</c:v>
                </c:pt>
                <c:pt idx="222">
                  <c:v>35</c:v>
                </c:pt>
                <c:pt idx="223">
                  <c:v>84</c:v>
                </c:pt>
                <c:pt idx="224">
                  <c:v>88</c:v>
                </c:pt>
                <c:pt idx="225">
                  <c:v>93</c:v>
                </c:pt>
                <c:pt idx="226">
                  <c:v>100</c:v>
                </c:pt>
                <c:pt idx="227">
                  <c:v>78</c:v>
                </c:pt>
                <c:pt idx="228">
                  <c:v>69</c:v>
                </c:pt>
                <c:pt idx="229">
                  <c:v>99</c:v>
                </c:pt>
                <c:pt idx="230">
                  <c:v>100</c:v>
                </c:pt>
                <c:pt idx="231">
                  <c:v>89</c:v>
                </c:pt>
                <c:pt idx="232">
                  <c:v>76</c:v>
                </c:pt>
                <c:pt idx="233">
                  <c:v>100</c:v>
                </c:pt>
                <c:pt idx="234">
                  <c:v>96</c:v>
                </c:pt>
                <c:pt idx="235">
                  <c:v>95</c:v>
                </c:pt>
                <c:pt idx="236">
                  <c:v>64</c:v>
                </c:pt>
                <c:pt idx="237">
                  <c:v>79</c:v>
                </c:pt>
                <c:pt idx="238">
                  <c:v>52</c:v>
                </c:pt>
                <c:pt idx="239">
                  <c:v>100</c:v>
                </c:pt>
                <c:pt idx="240">
                  <c:v>100</c:v>
                </c:pt>
                <c:pt idx="241">
                  <c:v>68</c:v>
                </c:pt>
                <c:pt idx="242">
                  <c:v>52</c:v>
                </c:pt>
                <c:pt idx="243">
                  <c:v>85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27</c:v>
                </c:pt>
                <c:pt idx="248">
                  <c:v>100</c:v>
                </c:pt>
                <c:pt idx="249">
                  <c:v>86</c:v>
                </c:pt>
                <c:pt idx="250">
                  <c:v>76</c:v>
                </c:pt>
                <c:pt idx="251">
                  <c:v>71</c:v>
                </c:pt>
                <c:pt idx="252">
                  <c:v>84</c:v>
                </c:pt>
                <c:pt idx="253">
                  <c:v>85</c:v>
                </c:pt>
                <c:pt idx="254">
                  <c:v>78</c:v>
                </c:pt>
                <c:pt idx="255">
                  <c:v>74</c:v>
                </c:pt>
                <c:pt idx="256">
                  <c:v>78</c:v>
                </c:pt>
                <c:pt idx="257">
                  <c:v>69</c:v>
                </c:pt>
                <c:pt idx="258">
                  <c:v>85</c:v>
                </c:pt>
                <c:pt idx="259">
                  <c:v>100</c:v>
                </c:pt>
                <c:pt idx="260">
                  <c:v>67</c:v>
                </c:pt>
                <c:pt idx="261">
                  <c:v>84</c:v>
                </c:pt>
                <c:pt idx="262">
                  <c:v>100</c:v>
                </c:pt>
                <c:pt idx="263">
                  <c:v>93</c:v>
                </c:pt>
                <c:pt idx="264">
                  <c:v>75</c:v>
                </c:pt>
                <c:pt idx="265">
                  <c:v>68</c:v>
                </c:pt>
                <c:pt idx="266">
                  <c:v>59</c:v>
                </c:pt>
                <c:pt idx="267">
                  <c:v>77</c:v>
                </c:pt>
                <c:pt idx="268">
                  <c:v>70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39</c:v>
                </c:pt>
                <c:pt idx="273">
                  <c:v>80</c:v>
                </c:pt>
                <c:pt idx="274">
                  <c:v>84</c:v>
                </c:pt>
                <c:pt idx="275">
                  <c:v>100</c:v>
                </c:pt>
                <c:pt idx="276">
                  <c:v>71</c:v>
                </c:pt>
                <c:pt idx="277">
                  <c:v>100</c:v>
                </c:pt>
                <c:pt idx="278">
                  <c:v>63</c:v>
                </c:pt>
                <c:pt idx="279">
                  <c:v>67</c:v>
                </c:pt>
                <c:pt idx="280">
                  <c:v>69</c:v>
                </c:pt>
                <c:pt idx="281">
                  <c:v>78</c:v>
                </c:pt>
                <c:pt idx="282">
                  <c:v>100</c:v>
                </c:pt>
                <c:pt idx="283">
                  <c:v>100</c:v>
                </c:pt>
                <c:pt idx="284">
                  <c:v>86</c:v>
                </c:pt>
                <c:pt idx="285">
                  <c:v>55</c:v>
                </c:pt>
                <c:pt idx="286">
                  <c:v>62</c:v>
                </c:pt>
                <c:pt idx="287">
                  <c:v>84</c:v>
                </c:pt>
                <c:pt idx="288">
                  <c:v>100</c:v>
                </c:pt>
                <c:pt idx="289">
                  <c:v>65</c:v>
                </c:pt>
                <c:pt idx="290">
                  <c:v>95</c:v>
                </c:pt>
                <c:pt idx="291">
                  <c:v>78</c:v>
                </c:pt>
                <c:pt idx="292">
                  <c:v>98</c:v>
                </c:pt>
                <c:pt idx="293">
                  <c:v>86</c:v>
                </c:pt>
                <c:pt idx="294">
                  <c:v>55</c:v>
                </c:pt>
                <c:pt idx="295">
                  <c:v>100</c:v>
                </c:pt>
                <c:pt idx="296">
                  <c:v>100</c:v>
                </c:pt>
                <c:pt idx="297">
                  <c:v>87</c:v>
                </c:pt>
                <c:pt idx="298">
                  <c:v>98</c:v>
                </c:pt>
                <c:pt idx="299">
                  <c:v>91</c:v>
                </c:pt>
                <c:pt idx="300">
                  <c:v>100</c:v>
                </c:pt>
                <c:pt idx="301">
                  <c:v>100</c:v>
                </c:pt>
                <c:pt idx="302">
                  <c:v>71</c:v>
                </c:pt>
                <c:pt idx="303">
                  <c:v>94</c:v>
                </c:pt>
                <c:pt idx="304">
                  <c:v>63</c:v>
                </c:pt>
                <c:pt idx="305">
                  <c:v>91</c:v>
                </c:pt>
                <c:pt idx="306">
                  <c:v>91</c:v>
                </c:pt>
                <c:pt idx="307">
                  <c:v>51</c:v>
                </c:pt>
                <c:pt idx="308">
                  <c:v>100</c:v>
                </c:pt>
                <c:pt idx="309">
                  <c:v>100</c:v>
                </c:pt>
                <c:pt idx="310">
                  <c:v>83</c:v>
                </c:pt>
                <c:pt idx="311">
                  <c:v>50</c:v>
                </c:pt>
                <c:pt idx="312">
                  <c:v>63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62</c:v>
                </c:pt>
                <c:pt idx="317">
                  <c:v>30</c:v>
                </c:pt>
                <c:pt idx="318">
                  <c:v>77</c:v>
                </c:pt>
                <c:pt idx="319">
                  <c:v>85</c:v>
                </c:pt>
                <c:pt idx="320">
                  <c:v>87</c:v>
                </c:pt>
                <c:pt idx="321">
                  <c:v>82</c:v>
                </c:pt>
                <c:pt idx="322">
                  <c:v>31</c:v>
                </c:pt>
                <c:pt idx="323">
                  <c:v>100</c:v>
                </c:pt>
                <c:pt idx="324">
                  <c:v>80</c:v>
                </c:pt>
                <c:pt idx="325">
                  <c:v>100</c:v>
                </c:pt>
                <c:pt idx="326">
                  <c:v>81</c:v>
                </c:pt>
                <c:pt idx="327">
                  <c:v>82</c:v>
                </c:pt>
                <c:pt idx="328">
                  <c:v>100</c:v>
                </c:pt>
                <c:pt idx="329">
                  <c:v>78</c:v>
                </c:pt>
                <c:pt idx="330">
                  <c:v>100</c:v>
                </c:pt>
                <c:pt idx="331">
                  <c:v>97</c:v>
                </c:pt>
                <c:pt idx="332">
                  <c:v>100</c:v>
                </c:pt>
                <c:pt idx="333">
                  <c:v>83</c:v>
                </c:pt>
                <c:pt idx="334">
                  <c:v>88</c:v>
                </c:pt>
                <c:pt idx="335">
                  <c:v>99</c:v>
                </c:pt>
                <c:pt idx="336">
                  <c:v>86</c:v>
                </c:pt>
                <c:pt idx="337">
                  <c:v>82</c:v>
                </c:pt>
                <c:pt idx="338">
                  <c:v>53</c:v>
                </c:pt>
                <c:pt idx="339">
                  <c:v>68</c:v>
                </c:pt>
                <c:pt idx="340">
                  <c:v>100</c:v>
                </c:pt>
                <c:pt idx="341">
                  <c:v>90</c:v>
                </c:pt>
                <c:pt idx="342">
                  <c:v>74</c:v>
                </c:pt>
                <c:pt idx="343">
                  <c:v>80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91</c:v>
                </c:pt>
                <c:pt idx="348">
                  <c:v>88</c:v>
                </c:pt>
                <c:pt idx="349">
                  <c:v>71</c:v>
                </c:pt>
                <c:pt idx="350">
                  <c:v>100</c:v>
                </c:pt>
                <c:pt idx="351">
                  <c:v>74</c:v>
                </c:pt>
                <c:pt idx="352">
                  <c:v>43</c:v>
                </c:pt>
                <c:pt idx="353">
                  <c:v>95</c:v>
                </c:pt>
                <c:pt idx="354">
                  <c:v>100</c:v>
                </c:pt>
                <c:pt idx="355">
                  <c:v>38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99</c:v>
                </c:pt>
                <c:pt idx="360">
                  <c:v>71</c:v>
                </c:pt>
                <c:pt idx="361">
                  <c:v>100</c:v>
                </c:pt>
                <c:pt idx="362">
                  <c:v>68</c:v>
                </c:pt>
                <c:pt idx="363">
                  <c:v>74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56</c:v>
                </c:pt>
                <c:pt idx="368">
                  <c:v>100</c:v>
                </c:pt>
                <c:pt idx="369">
                  <c:v>80</c:v>
                </c:pt>
                <c:pt idx="370">
                  <c:v>82</c:v>
                </c:pt>
                <c:pt idx="371">
                  <c:v>32</c:v>
                </c:pt>
                <c:pt idx="372">
                  <c:v>66</c:v>
                </c:pt>
                <c:pt idx="373">
                  <c:v>87</c:v>
                </c:pt>
                <c:pt idx="374">
                  <c:v>100</c:v>
                </c:pt>
                <c:pt idx="375">
                  <c:v>100</c:v>
                </c:pt>
                <c:pt idx="376">
                  <c:v>49</c:v>
                </c:pt>
                <c:pt idx="377">
                  <c:v>100</c:v>
                </c:pt>
                <c:pt idx="378">
                  <c:v>78</c:v>
                </c:pt>
                <c:pt idx="379">
                  <c:v>100</c:v>
                </c:pt>
                <c:pt idx="380">
                  <c:v>97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78</c:v>
                </c:pt>
                <c:pt idx="385">
                  <c:v>97</c:v>
                </c:pt>
                <c:pt idx="386">
                  <c:v>100</c:v>
                </c:pt>
                <c:pt idx="387">
                  <c:v>100</c:v>
                </c:pt>
                <c:pt idx="388">
                  <c:v>59</c:v>
                </c:pt>
                <c:pt idx="389">
                  <c:v>100</c:v>
                </c:pt>
                <c:pt idx="390">
                  <c:v>94</c:v>
                </c:pt>
                <c:pt idx="391">
                  <c:v>71</c:v>
                </c:pt>
                <c:pt idx="392">
                  <c:v>100</c:v>
                </c:pt>
              </c:numCache>
            </c:numRef>
          </c:xVal>
          <c:yVal>
            <c:numRef>
              <c:f>'Stress And Productivity'!$E$2:$E$394</c:f>
              <c:numCache>
                <c:formatCode>General</c:formatCode>
                <c:ptCount val="393"/>
                <c:pt idx="0">
                  <c:v>44.7</c:v>
                </c:pt>
                <c:pt idx="1">
                  <c:v>78</c:v>
                </c:pt>
                <c:pt idx="2">
                  <c:v>51.8</c:v>
                </c:pt>
                <c:pt idx="3">
                  <c:v>37</c:v>
                </c:pt>
                <c:pt idx="4">
                  <c:v>38.5</c:v>
                </c:pt>
                <c:pt idx="5">
                  <c:v>44</c:v>
                </c:pt>
                <c:pt idx="6">
                  <c:v>64.8</c:v>
                </c:pt>
                <c:pt idx="7">
                  <c:v>87</c:v>
                </c:pt>
                <c:pt idx="8">
                  <c:v>91.7</c:v>
                </c:pt>
                <c:pt idx="9">
                  <c:v>42.2</c:v>
                </c:pt>
                <c:pt idx="10">
                  <c:v>55.9</c:v>
                </c:pt>
                <c:pt idx="11">
                  <c:v>88.4</c:v>
                </c:pt>
                <c:pt idx="12">
                  <c:v>33</c:v>
                </c:pt>
                <c:pt idx="13">
                  <c:v>70.7</c:v>
                </c:pt>
                <c:pt idx="14">
                  <c:v>53.2</c:v>
                </c:pt>
                <c:pt idx="15">
                  <c:v>37.6</c:v>
                </c:pt>
                <c:pt idx="16">
                  <c:v>60.3</c:v>
                </c:pt>
                <c:pt idx="17">
                  <c:v>49</c:v>
                </c:pt>
                <c:pt idx="18">
                  <c:v>85.1</c:v>
                </c:pt>
                <c:pt idx="19">
                  <c:v>52</c:v>
                </c:pt>
                <c:pt idx="20">
                  <c:v>48.1</c:v>
                </c:pt>
                <c:pt idx="21">
                  <c:v>53.1</c:v>
                </c:pt>
                <c:pt idx="22">
                  <c:v>76.400000000000006</c:v>
                </c:pt>
                <c:pt idx="23">
                  <c:v>77.3</c:v>
                </c:pt>
                <c:pt idx="24">
                  <c:v>50.3</c:v>
                </c:pt>
                <c:pt idx="25">
                  <c:v>51</c:v>
                </c:pt>
                <c:pt idx="26">
                  <c:v>53.3</c:v>
                </c:pt>
                <c:pt idx="27">
                  <c:v>60</c:v>
                </c:pt>
                <c:pt idx="28">
                  <c:v>61.1</c:v>
                </c:pt>
                <c:pt idx="29">
                  <c:v>38</c:v>
                </c:pt>
                <c:pt idx="30">
                  <c:v>52.1</c:v>
                </c:pt>
                <c:pt idx="31">
                  <c:v>42.6</c:v>
                </c:pt>
                <c:pt idx="32">
                  <c:v>60.3</c:v>
                </c:pt>
                <c:pt idx="33">
                  <c:v>57</c:v>
                </c:pt>
                <c:pt idx="34">
                  <c:v>39.6</c:v>
                </c:pt>
                <c:pt idx="35">
                  <c:v>53.6</c:v>
                </c:pt>
                <c:pt idx="36">
                  <c:v>45.7</c:v>
                </c:pt>
                <c:pt idx="37">
                  <c:v>68.099999999999994</c:v>
                </c:pt>
                <c:pt idx="38">
                  <c:v>49.8</c:v>
                </c:pt>
                <c:pt idx="39">
                  <c:v>51.6</c:v>
                </c:pt>
                <c:pt idx="40">
                  <c:v>67.400000000000006</c:v>
                </c:pt>
                <c:pt idx="41">
                  <c:v>51.7</c:v>
                </c:pt>
                <c:pt idx="42">
                  <c:v>77.7</c:v>
                </c:pt>
                <c:pt idx="43">
                  <c:v>37.6</c:v>
                </c:pt>
                <c:pt idx="44">
                  <c:v>58.8</c:v>
                </c:pt>
                <c:pt idx="45">
                  <c:v>79.599999999999994</c:v>
                </c:pt>
                <c:pt idx="46">
                  <c:v>49.2</c:v>
                </c:pt>
                <c:pt idx="47">
                  <c:v>34.799999999999997</c:v>
                </c:pt>
                <c:pt idx="48">
                  <c:v>52.8</c:v>
                </c:pt>
                <c:pt idx="49">
                  <c:v>27.1</c:v>
                </c:pt>
                <c:pt idx="50">
                  <c:v>56.8</c:v>
                </c:pt>
                <c:pt idx="51">
                  <c:v>38.5</c:v>
                </c:pt>
                <c:pt idx="52">
                  <c:v>44.9</c:v>
                </c:pt>
                <c:pt idx="53">
                  <c:v>44.8</c:v>
                </c:pt>
                <c:pt idx="54">
                  <c:v>60</c:v>
                </c:pt>
                <c:pt idx="55">
                  <c:v>51.7</c:v>
                </c:pt>
                <c:pt idx="56">
                  <c:v>74</c:v>
                </c:pt>
                <c:pt idx="57">
                  <c:v>81</c:v>
                </c:pt>
                <c:pt idx="58">
                  <c:v>67.8</c:v>
                </c:pt>
                <c:pt idx="59">
                  <c:v>40.299999999999997</c:v>
                </c:pt>
                <c:pt idx="60">
                  <c:v>46.3</c:v>
                </c:pt>
                <c:pt idx="61">
                  <c:v>45.8</c:v>
                </c:pt>
                <c:pt idx="62">
                  <c:v>42.2</c:v>
                </c:pt>
                <c:pt idx="63">
                  <c:v>51.1</c:v>
                </c:pt>
                <c:pt idx="64">
                  <c:v>48.3</c:v>
                </c:pt>
                <c:pt idx="65">
                  <c:v>86.3</c:v>
                </c:pt>
                <c:pt idx="66">
                  <c:v>38</c:v>
                </c:pt>
                <c:pt idx="67">
                  <c:v>50.3</c:v>
                </c:pt>
                <c:pt idx="68">
                  <c:v>76.5</c:v>
                </c:pt>
                <c:pt idx="69">
                  <c:v>65.099999999999994</c:v>
                </c:pt>
                <c:pt idx="70">
                  <c:v>59</c:v>
                </c:pt>
                <c:pt idx="71">
                  <c:v>43</c:v>
                </c:pt>
                <c:pt idx="72">
                  <c:v>68.5</c:v>
                </c:pt>
                <c:pt idx="73">
                  <c:v>56</c:v>
                </c:pt>
                <c:pt idx="74">
                  <c:v>74.5</c:v>
                </c:pt>
                <c:pt idx="75">
                  <c:v>51.1</c:v>
                </c:pt>
                <c:pt idx="76">
                  <c:v>60.5</c:v>
                </c:pt>
                <c:pt idx="77">
                  <c:v>88</c:v>
                </c:pt>
                <c:pt idx="78">
                  <c:v>41.5</c:v>
                </c:pt>
                <c:pt idx="79">
                  <c:v>67.7</c:v>
                </c:pt>
                <c:pt idx="80">
                  <c:v>45.5</c:v>
                </c:pt>
                <c:pt idx="81">
                  <c:v>88.3</c:v>
                </c:pt>
                <c:pt idx="82">
                  <c:v>66.3</c:v>
                </c:pt>
                <c:pt idx="83">
                  <c:v>55.9</c:v>
                </c:pt>
                <c:pt idx="84">
                  <c:v>82.3</c:v>
                </c:pt>
                <c:pt idx="85">
                  <c:v>64.400000000000006</c:v>
                </c:pt>
                <c:pt idx="86">
                  <c:v>50.4</c:v>
                </c:pt>
                <c:pt idx="87">
                  <c:v>46.5</c:v>
                </c:pt>
                <c:pt idx="88">
                  <c:v>58.3</c:v>
                </c:pt>
                <c:pt idx="89">
                  <c:v>68.7</c:v>
                </c:pt>
                <c:pt idx="90">
                  <c:v>43.9</c:v>
                </c:pt>
                <c:pt idx="91">
                  <c:v>40.6</c:v>
                </c:pt>
                <c:pt idx="92">
                  <c:v>57.1</c:v>
                </c:pt>
                <c:pt idx="93">
                  <c:v>49.9</c:v>
                </c:pt>
                <c:pt idx="94">
                  <c:v>51.5</c:v>
                </c:pt>
                <c:pt idx="95">
                  <c:v>53.5</c:v>
                </c:pt>
                <c:pt idx="96">
                  <c:v>48.4</c:v>
                </c:pt>
                <c:pt idx="97">
                  <c:v>61.4</c:v>
                </c:pt>
                <c:pt idx="98">
                  <c:v>53.9</c:v>
                </c:pt>
                <c:pt idx="99">
                  <c:v>58.5</c:v>
                </c:pt>
                <c:pt idx="100">
                  <c:v>45.4</c:v>
                </c:pt>
                <c:pt idx="101">
                  <c:v>74.8</c:v>
                </c:pt>
                <c:pt idx="102">
                  <c:v>66.8</c:v>
                </c:pt>
                <c:pt idx="103">
                  <c:v>33.200000000000003</c:v>
                </c:pt>
                <c:pt idx="104">
                  <c:v>68.3</c:v>
                </c:pt>
                <c:pt idx="105">
                  <c:v>36.1</c:v>
                </c:pt>
                <c:pt idx="106">
                  <c:v>36.4</c:v>
                </c:pt>
                <c:pt idx="107">
                  <c:v>26</c:v>
                </c:pt>
                <c:pt idx="108">
                  <c:v>44.8</c:v>
                </c:pt>
                <c:pt idx="109">
                  <c:v>86.8</c:v>
                </c:pt>
                <c:pt idx="110">
                  <c:v>42.3</c:v>
                </c:pt>
                <c:pt idx="111">
                  <c:v>35.9</c:v>
                </c:pt>
                <c:pt idx="112">
                  <c:v>56.7</c:v>
                </c:pt>
                <c:pt idx="113">
                  <c:v>37.299999999999997</c:v>
                </c:pt>
                <c:pt idx="114">
                  <c:v>52.6</c:v>
                </c:pt>
                <c:pt idx="115">
                  <c:v>55.1</c:v>
                </c:pt>
                <c:pt idx="116">
                  <c:v>56.2</c:v>
                </c:pt>
                <c:pt idx="117">
                  <c:v>47.2</c:v>
                </c:pt>
                <c:pt idx="118">
                  <c:v>52.1</c:v>
                </c:pt>
                <c:pt idx="119">
                  <c:v>73</c:v>
                </c:pt>
                <c:pt idx="120">
                  <c:v>80.400000000000006</c:v>
                </c:pt>
                <c:pt idx="121">
                  <c:v>40.9</c:v>
                </c:pt>
                <c:pt idx="122">
                  <c:v>70.8</c:v>
                </c:pt>
                <c:pt idx="123">
                  <c:v>49.3</c:v>
                </c:pt>
                <c:pt idx="124">
                  <c:v>67.400000000000006</c:v>
                </c:pt>
                <c:pt idx="125">
                  <c:v>59.5</c:v>
                </c:pt>
                <c:pt idx="126">
                  <c:v>40.9</c:v>
                </c:pt>
                <c:pt idx="127">
                  <c:v>56.7</c:v>
                </c:pt>
                <c:pt idx="128">
                  <c:v>79</c:v>
                </c:pt>
                <c:pt idx="129">
                  <c:v>60</c:v>
                </c:pt>
                <c:pt idx="130">
                  <c:v>56.1</c:v>
                </c:pt>
                <c:pt idx="131">
                  <c:v>39.4</c:v>
                </c:pt>
                <c:pt idx="132">
                  <c:v>64.099999999999994</c:v>
                </c:pt>
                <c:pt idx="133">
                  <c:v>68.8</c:v>
                </c:pt>
                <c:pt idx="134">
                  <c:v>50.5</c:v>
                </c:pt>
                <c:pt idx="135">
                  <c:v>34.4</c:v>
                </c:pt>
                <c:pt idx="136">
                  <c:v>79.099999999999994</c:v>
                </c:pt>
                <c:pt idx="137">
                  <c:v>56.2</c:v>
                </c:pt>
                <c:pt idx="138">
                  <c:v>41.2</c:v>
                </c:pt>
                <c:pt idx="139">
                  <c:v>73.599999999999994</c:v>
                </c:pt>
                <c:pt idx="140">
                  <c:v>79.599999999999994</c:v>
                </c:pt>
                <c:pt idx="141">
                  <c:v>67.099999999999994</c:v>
                </c:pt>
                <c:pt idx="142">
                  <c:v>54.4</c:v>
                </c:pt>
                <c:pt idx="143">
                  <c:v>36.4</c:v>
                </c:pt>
                <c:pt idx="144">
                  <c:v>44.2</c:v>
                </c:pt>
                <c:pt idx="145">
                  <c:v>64.8</c:v>
                </c:pt>
                <c:pt idx="146">
                  <c:v>45.4</c:v>
                </c:pt>
                <c:pt idx="147">
                  <c:v>37.9</c:v>
                </c:pt>
                <c:pt idx="148">
                  <c:v>51</c:v>
                </c:pt>
                <c:pt idx="149">
                  <c:v>50.4</c:v>
                </c:pt>
                <c:pt idx="150">
                  <c:v>48.5</c:v>
                </c:pt>
                <c:pt idx="151">
                  <c:v>77.900000000000006</c:v>
                </c:pt>
                <c:pt idx="152">
                  <c:v>33.1</c:v>
                </c:pt>
                <c:pt idx="153">
                  <c:v>44.6</c:v>
                </c:pt>
                <c:pt idx="154">
                  <c:v>37.700000000000003</c:v>
                </c:pt>
                <c:pt idx="155">
                  <c:v>58.2</c:v>
                </c:pt>
                <c:pt idx="156">
                  <c:v>55.6</c:v>
                </c:pt>
                <c:pt idx="157">
                  <c:v>45.5</c:v>
                </c:pt>
                <c:pt idx="158">
                  <c:v>52.8</c:v>
                </c:pt>
                <c:pt idx="159">
                  <c:v>43.7</c:v>
                </c:pt>
                <c:pt idx="160">
                  <c:v>43.2</c:v>
                </c:pt>
                <c:pt idx="161">
                  <c:v>70.099999999999994</c:v>
                </c:pt>
                <c:pt idx="162">
                  <c:v>42.6</c:v>
                </c:pt>
                <c:pt idx="163">
                  <c:v>73.2</c:v>
                </c:pt>
                <c:pt idx="164">
                  <c:v>49.6</c:v>
                </c:pt>
                <c:pt idx="165">
                  <c:v>50.3</c:v>
                </c:pt>
                <c:pt idx="166">
                  <c:v>44.2</c:v>
                </c:pt>
                <c:pt idx="167">
                  <c:v>61.2</c:v>
                </c:pt>
                <c:pt idx="168">
                  <c:v>57.9</c:v>
                </c:pt>
                <c:pt idx="169">
                  <c:v>35.5</c:v>
                </c:pt>
                <c:pt idx="170">
                  <c:v>57.4</c:v>
                </c:pt>
                <c:pt idx="171">
                  <c:v>39.299999999999997</c:v>
                </c:pt>
                <c:pt idx="172">
                  <c:v>79.099999999999994</c:v>
                </c:pt>
                <c:pt idx="173">
                  <c:v>36.799999999999997</c:v>
                </c:pt>
                <c:pt idx="174">
                  <c:v>52.8</c:v>
                </c:pt>
                <c:pt idx="175">
                  <c:v>62.4</c:v>
                </c:pt>
                <c:pt idx="176">
                  <c:v>24.6</c:v>
                </c:pt>
                <c:pt idx="177">
                  <c:v>75.599999999999994</c:v>
                </c:pt>
                <c:pt idx="178">
                  <c:v>51.3</c:v>
                </c:pt>
                <c:pt idx="179">
                  <c:v>53.9</c:v>
                </c:pt>
                <c:pt idx="180">
                  <c:v>79</c:v>
                </c:pt>
                <c:pt idx="181">
                  <c:v>59.1</c:v>
                </c:pt>
                <c:pt idx="182">
                  <c:v>43.7</c:v>
                </c:pt>
                <c:pt idx="183">
                  <c:v>28.1</c:v>
                </c:pt>
                <c:pt idx="184">
                  <c:v>66.8</c:v>
                </c:pt>
                <c:pt idx="185">
                  <c:v>48.6</c:v>
                </c:pt>
                <c:pt idx="186">
                  <c:v>36</c:v>
                </c:pt>
                <c:pt idx="187">
                  <c:v>30.9</c:v>
                </c:pt>
                <c:pt idx="188">
                  <c:v>69.599999999999994</c:v>
                </c:pt>
                <c:pt idx="189">
                  <c:v>41.9</c:v>
                </c:pt>
                <c:pt idx="190">
                  <c:v>45.1</c:v>
                </c:pt>
                <c:pt idx="191">
                  <c:v>50.2</c:v>
                </c:pt>
                <c:pt idx="192">
                  <c:v>54</c:v>
                </c:pt>
                <c:pt idx="193">
                  <c:v>48.3</c:v>
                </c:pt>
                <c:pt idx="194">
                  <c:v>62.7</c:v>
                </c:pt>
                <c:pt idx="195">
                  <c:v>46.4</c:v>
                </c:pt>
                <c:pt idx="196">
                  <c:v>44.7</c:v>
                </c:pt>
                <c:pt idx="197">
                  <c:v>31.8</c:v>
                </c:pt>
                <c:pt idx="198">
                  <c:v>66.7</c:v>
                </c:pt>
                <c:pt idx="199">
                  <c:v>57</c:v>
                </c:pt>
                <c:pt idx="200">
                  <c:v>52.5</c:v>
                </c:pt>
                <c:pt idx="201">
                  <c:v>50.1</c:v>
                </c:pt>
                <c:pt idx="202">
                  <c:v>59.9</c:v>
                </c:pt>
                <c:pt idx="203">
                  <c:v>47.6</c:v>
                </c:pt>
                <c:pt idx="204">
                  <c:v>54.6</c:v>
                </c:pt>
                <c:pt idx="205">
                  <c:v>43.4</c:v>
                </c:pt>
                <c:pt idx="206">
                  <c:v>36.9</c:v>
                </c:pt>
                <c:pt idx="207">
                  <c:v>39.1</c:v>
                </c:pt>
                <c:pt idx="208">
                  <c:v>54.3</c:v>
                </c:pt>
                <c:pt idx="209">
                  <c:v>65.400000000000006</c:v>
                </c:pt>
                <c:pt idx="210">
                  <c:v>54.6</c:v>
                </c:pt>
                <c:pt idx="211">
                  <c:v>40.6</c:v>
                </c:pt>
                <c:pt idx="212">
                  <c:v>45.4</c:v>
                </c:pt>
                <c:pt idx="213">
                  <c:v>32.6</c:v>
                </c:pt>
                <c:pt idx="214">
                  <c:v>38.1</c:v>
                </c:pt>
                <c:pt idx="215">
                  <c:v>57.5</c:v>
                </c:pt>
                <c:pt idx="216">
                  <c:v>70.8</c:v>
                </c:pt>
                <c:pt idx="217">
                  <c:v>46.8</c:v>
                </c:pt>
                <c:pt idx="218">
                  <c:v>64.2</c:v>
                </c:pt>
                <c:pt idx="219">
                  <c:v>46.6</c:v>
                </c:pt>
                <c:pt idx="220">
                  <c:v>56.6</c:v>
                </c:pt>
                <c:pt idx="221">
                  <c:v>56.3</c:v>
                </c:pt>
                <c:pt idx="222">
                  <c:v>72.900000000000006</c:v>
                </c:pt>
                <c:pt idx="223">
                  <c:v>56.6</c:v>
                </c:pt>
                <c:pt idx="224">
                  <c:v>49</c:v>
                </c:pt>
                <c:pt idx="225">
                  <c:v>32.700000000000003</c:v>
                </c:pt>
                <c:pt idx="226">
                  <c:v>36.5</c:v>
                </c:pt>
                <c:pt idx="227">
                  <c:v>58.5</c:v>
                </c:pt>
                <c:pt idx="228">
                  <c:v>60.7</c:v>
                </c:pt>
                <c:pt idx="229">
                  <c:v>58.8</c:v>
                </c:pt>
                <c:pt idx="230">
                  <c:v>44.1</c:v>
                </c:pt>
                <c:pt idx="231">
                  <c:v>42.1</c:v>
                </c:pt>
                <c:pt idx="232">
                  <c:v>55.5</c:v>
                </c:pt>
                <c:pt idx="233">
                  <c:v>46.3</c:v>
                </c:pt>
                <c:pt idx="234">
                  <c:v>48.5</c:v>
                </c:pt>
                <c:pt idx="235">
                  <c:v>49.9</c:v>
                </c:pt>
                <c:pt idx="236">
                  <c:v>69.099999999999994</c:v>
                </c:pt>
                <c:pt idx="237">
                  <c:v>60.6</c:v>
                </c:pt>
                <c:pt idx="238">
                  <c:v>82.7</c:v>
                </c:pt>
                <c:pt idx="239">
                  <c:v>47.9</c:v>
                </c:pt>
                <c:pt idx="240">
                  <c:v>38.6</c:v>
                </c:pt>
                <c:pt idx="241">
                  <c:v>76.900000000000006</c:v>
                </c:pt>
                <c:pt idx="242">
                  <c:v>72.5</c:v>
                </c:pt>
                <c:pt idx="243">
                  <c:v>43.8</c:v>
                </c:pt>
                <c:pt idx="244">
                  <c:v>59.5</c:v>
                </c:pt>
                <c:pt idx="245">
                  <c:v>51.4</c:v>
                </c:pt>
                <c:pt idx="246">
                  <c:v>41</c:v>
                </c:pt>
                <c:pt idx="247">
                  <c:v>88.9</c:v>
                </c:pt>
                <c:pt idx="248">
                  <c:v>36.5</c:v>
                </c:pt>
                <c:pt idx="249">
                  <c:v>53.2</c:v>
                </c:pt>
                <c:pt idx="250">
                  <c:v>65.599999999999994</c:v>
                </c:pt>
                <c:pt idx="251">
                  <c:v>65.099999999999994</c:v>
                </c:pt>
                <c:pt idx="252">
                  <c:v>50.5</c:v>
                </c:pt>
                <c:pt idx="253">
                  <c:v>48.8</c:v>
                </c:pt>
                <c:pt idx="254">
                  <c:v>65.7</c:v>
                </c:pt>
                <c:pt idx="255">
                  <c:v>60.9</c:v>
                </c:pt>
                <c:pt idx="256">
                  <c:v>48.1</c:v>
                </c:pt>
                <c:pt idx="257">
                  <c:v>58.3</c:v>
                </c:pt>
                <c:pt idx="258">
                  <c:v>50.4</c:v>
                </c:pt>
                <c:pt idx="259">
                  <c:v>43.6</c:v>
                </c:pt>
                <c:pt idx="260">
                  <c:v>67.3</c:v>
                </c:pt>
                <c:pt idx="261">
                  <c:v>52.2</c:v>
                </c:pt>
                <c:pt idx="262">
                  <c:v>39.799999999999997</c:v>
                </c:pt>
                <c:pt idx="263">
                  <c:v>56.2</c:v>
                </c:pt>
                <c:pt idx="264">
                  <c:v>64.599999999999994</c:v>
                </c:pt>
                <c:pt idx="265">
                  <c:v>49</c:v>
                </c:pt>
                <c:pt idx="266">
                  <c:v>62.2</c:v>
                </c:pt>
                <c:pt idx="267">
                  <c:v>47.1</c:v>
                </c:pt>
                <c:pt idx="268">
                  <c:v>60.4</c:v>
                </c:pt>
                <c:pt idx="269">
                  <c:v>20.6</c:v>
                </c:pt>
                <c:pt idx="270">
                  <c:v>28.4</c:v>
                </c:pt>
                <c:pt idx="271">
                  <c:v>42.2</c:v>
                </c:pt>
                <c:pt idx="272">
                  <c:v>88.1</c:v>
                </c:pt>
                <c:pt idx="273">
                  <c:v>40.4</c:v>
                </c:pt>
                <c:pt idx="274">
                  <c:v>54</c:v>
                </c:pt>
                <c:pt idx="275">
                  <c:v>41.9</c:v>
                </c:pt>
                <c:pt idx="276">
                  <c:v>70.3</c:v>
                </c:pt>
                <c:pt idx="277">
                  <c:v>51.3</c:v>
                </c:pt>
                <c:pt idx="278">
                  <c:v>75.099999999999994</c:v>
                </c:pt>
                <c:pt idx="279">
                  <c:v>65.599999999999994</c:v>
                </c:pt>
                <c:pt idx="280">
                  <c:v>75.7</c:v>
                </c:pt>
                <c:pt idx="281">
                  <c:v>43.6</c:v>
                </c:pt>
                <c:pt idx="282">
                  <c:v>30.5</c:v>
                </c:pt>
                <c:pt idx="283">
                  <c:v>42.2</c:v>
                </c:pt>
                <c:pt idx="284">
                  <c:v>59.6</c:v>
                </c:pt>
                <c:pt idx="285">
                  <c:v>66.2</c:v>
                </c:pt>
                <c:pt idx="286">
                  <c:v>64.599999999999994</c:v>
                </c:pt>
                <c:pt idx="287">
                  <c:v>42.4</c:v>
                </c:pt>
                <c:pt idx="288">
                  <c:v>47</c:v>
                </c:pt>
                <c:pt idx="289">
                  <c:v>75.7</c:v>
                </c:pt>
                <c:pt idx="290">
                  <c:v>49.2</c:v>
                </c:pt>
                <c:pt idx="291">
                  <c:v>46.8</c:v>
                </c:pt>
                <c:pt idx="292">
                  <c:v>49.5</c:v>
                </c:pt>
                <c:pt idx="293">
                  <c:v>40.6</c:v>
                </c:pt>
                <c:pt idx="294">
                  <c:v>66.900000000000006</c:v>
                </c:pt>
                <c:pt idx="295">
                  <c:v>38.6</c:v>
                </c:pt>
                <c:pt idx="296">
                  <c:v>34.4</c:v>
                </c:pt>
                <c:pt idx="297">
                  <c:v>47.8</c:v>
                </c:pt>
                <c:pt idx="298">
                  <c:v>46.3</c:v>
                </c:pt>
                <c:pt idx="299">
                  <c:v>48.1</c:v>
                </c:pt>
                <c:pt idx="300">
                  <c:v>41.9</c:v>
                </c:pt>
                <c:pt idx="301">
                  <c:v>43.4</c:v>
                </c:pt>
                <c:pt idx="302">
                  <c:v>52.2</c:v>
                </c:pt>
                <c:pt idx="303">
                  <c:v>49.8</c:v>
                </c:pt>
                <c:pt idx="304">
                  <c:v>60.2</c:v>
                </c:pt>
                <c:pt idx="305">
                  <c:v>56.6</c:v>
                </c:pt>
                <c:pt idx="306">
                  <c:v>49.7</c:v>
                </c:pt>
                <c:pt idx="307">
                  <c:v>60.8</c:v>
                </c:pt>
                <c:pt idx="308">
                  <c:v>49.6</c:v>
                </c:pt>
                <c:pt idx="309">
                  <c:v>38.1</c:v>
                </c:pt>
                <c:pt idx="310">
                  <c:v>55.3</c:v>
                </c:pt>
                <c:pt idx="311">
                  <c:v>80.2</c:v>
                </c:pt>
                <c:pt idx="312">
                  <c:v>72.7</c:v>
                </c:pt>
                <c:pt idx="313">
                  <c:v>40.6</c:v>
                </c:pt>
                <c:pt idx="314">
                  <c:v>40.799999999999997</c:v>
                </c:pt>
                <c:pt idx="315">
                  <c:v>43.6</c:v>
                </c:pt>
                <c:pt idx="316">
                  <c:v>63.7</c:v>
                </c:pt>
                <c:pt idx="317">
                  <c:v>88.8</c:v>
                </c:pt>
                <c:pt idx="318">
                  <c:v>54.7</c:v>
                </c:pt>
                <c:pt idx="319">
                  <c:v>40.799999999999997</c:v>
                </c:pt>
                <c:pt idx="320">
                  <c:v>49.5</c:v>
                </c:pt>
                <c:pt idx="321">
                  <c:v>52.5</c:v>
                </c:pt>
                <c:pt idx="322">
                  <c:v>84</c:v>
                </c:pt>
                <c:pt idx="323">
                  <c:v>40.5</c:v>
                </c:pt>
                <c:pt idx="324">
                  <c:v>64</c:v>
                </c:pt>
                <c:pt idx="325">
                  <c:v>38.4</c:v>
                </c:pt>
                <c:pt idx="326">
                  <c:v>62.5</c:v>
                </c:pt>
                <c:pt idx="327">
                  <c:v>57.4</c:v>
                </c:pt>
                <c:pt idx="328">
                  <c:v>47.5</c:v>
                </c:pt>
                <c:pt idx="329">
                  <c:v>53.8</c:v>
                </c:pt>
                <c:pt idx="330">
                  <c:v>44.8</c:v>
                </c:pt>
                <c:pt idx="331">
                  <c:v>31.4</c:v>
                </c:pt>
                <c:pt idx="332">
                  <c:v>39.1</c:v>
                </c:pt>
                <c:pt idx="333">
                  <c:v>62.5</c:v>
                </c:pt>
                <c:pt idx="334">
                  <c:v>46.3</c:v>
                </c:pt>
                <c:pt idx="335">
                  <c:v>38.4</c:v>
                </c:pt>
                <c:pt idx="336">
                  <c:v>54.5</c:v>
                </c:pt>
                <c:pt idx="337">
                  <c:v>57.1</c:v>
                </c:pt>
                <c:pt idx="338">
                  <c:v>67.099999999999994</c:v>
                </c:pt>
                <c:pt idx="339">
                  <c:v>67.5</c:v>
                </c:pt>
                <c:pt idx="340">
                  <c:v>58.2</c:v>
                </c:pt>
                <c:pt idx="341">
                  <c:v>58.6</c:v>
                </c:pt>
                <c:pt idx="342">
                  <c:v>61.3</c:v>
                </c:pt>
                <c:pt idx="343">
                  <c:v>58.6</c:v>
                </c:pt>
                <c:pt idx="344">
                  <c:v>43.7</c:v>
                </c:pt>
                <c:pt idx="345">
                  <c:v>23.2</c:v>
                </c:pt>
                <c:pt idx="346">
                  <c:v>34.1</c:v>
                </c:pt>
                <c:pt idx="347">
                  <c:v>39.799999999999997</c:v>
                </c:pt>
                <c:pt idx="348">
                  <c:v>41.1</c:v>
                </c:pt>
                <c:pt idx="349">
                  <c:v>47.3</c:v>
                </c:pt>
                <c:pt idx="350">
                  <c:v>39.700000000000003</c:v>
                </c:pt>
                <c:pt idx="351">
                  <c:v>63</c:v>
                </c:pt>
                <c:pt idx="352">
                  <c:v>84.8</c:v>
                </c:pt>
                <c:pt idx="353">
                  <c:v>46</c:v>
                </c:pt>
                <c:pt idx="354">
                  <c:v>36.9</c:v>
                </c:pt>
                <c:pt idx="355">
                  <c:v>67.8</c:v>
                </c:pt>
                <c:pt idx="356">
                  <c:v>30.2</c:v>
                </c:pt>
                <c:pt idx="357">
                  <c:v>34.799999999999997</c:v>
                </c:pt>
                <c:pt idx="358">
                  <c:v>39.6</c:v>
                </c:pt>
                <c:pt idx="359">
                  <c:v>52.1</c:v>
                </c:pt>
                <c:pt idx="360">
                  <c:v>51.9</c:v>
                </c:pt>
                <c:pt idx="361">
                  <c:v>48.6</c:v>
                </c:pt>
                <c:pt idx="362">
                  <c:v>63.3</c:v>
                </c:pt>
                <c:pt idx="363">
                  <c:v>54.9</c:v>
                </c:pt>
                <c:pt idx="364">
                  <c:v>46.8</c:v>
                </c:pt>
                <c:pt idx="365">
                  <c:v>34.1</c:v>
                </c:pt>
                <c:pt idx="366">
                  <c:v>45</c:v>
                </c:pt>
                <c:pt idx="367">
                  <c:v>72.5</c:v>
                </c:pt>
                <c:pt idx="368">
                  <c:v>44.3</c:v>
                </c:pt>
                <c:pt idx="369">
                  <c:v>56</c:v>
                </c:pt>
                <c:pt idx="370">
                  <c:v>59.1</c:v>
                </c:pt>
                <c:pt idx="371">
                  <c:v>76.5</c:v>
                </c:pt>
                <c:pt idx="372">
                  <c:v>63</c:v>
                </c:pt>
                <c:pt idx="373">
                  <c:v>56.5</c:v>
                </c:pt>
                <c:pt idx="374">
                  <c:v>47.3</c:v>
                </c:pt>
                <c:pt idx="375">
                  <c:v>40.4</c:v>
                </c:pt>
                <c:pt idx="376">
                  <c:v>81</c:v>
                </c:pt>
                <c:pt idx="377">
                  <c:v>33.5</c:v>
                </c:pt>
                <c:pt idx="378">
                  <c:v>50.4</c:v>
                </c:pt>
                <c:pt idx="379">
                  <c:v>43.8</c:v>
                </c:pt>
                <c:pt idx="380">
                  <c:v>49.9</c:v>
                </c:pt>
                <c:pt idx="381">
                  <c:v>32.799999999999997</c:v>
                </c:pt>
                <c:pt idx="382">
                  <c:v>50.4</c:v>
                </c:pt>
                <c:pt idx="383">
                  <c:v>36.5</c:v>
                </c:pt>
                <c:pt idx="384">
                  <c:v>51.2</c:v>
                </c:pt>
                <c:pt idx="385">
                  <c:v>34.4</c:v>
                </c:pt>
                <c:pt idx="386">
                  <c:v>38.799999999999997</c:v>
                </c:pt>
                <c:pt idx="387">
                  <c:v>43.5</c:v>
                </c:pt>
                <c:pt idx="388">
                  <c:v>64.599999999999994</c:v>
                </c:pt>
                <c:pt idx="389">
                  <c:v>47.4</c:v>
                </c:pt>
                <c:pt idx="390">
                  <c:v>57.3</c:v>
                </c:pt>
                <c:pt idx="391">
                  <c:v>63.6</c:v>
                </c:pt>
                <c:pt idx="392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A-4CD5-B6E3-E2F981AEB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504031"/>
        <c:axId val="2035504511"/>
      </c:scatterChart>
      <c:valAx>
        <c:axId val="203550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DM Sans" pitchFamily="2" charset="0"/>
                    <a:ea typeface="+mn-ea"/>
                    <a:cs typeface="+mn-cs"/>
                  </a:defRPr>
                </a:pPr>
                <a:r>
                  <a:rPr lang="en-US" b="0" i="0" baseline="0">
                    <a:solidFill>
                      <a:schemeClr val="tx1"/>
                    </a:solidFill>
                    <a:latin typeface="DM Sans" pitchFamily="2" charset="0"/>
                  </a:rPr>
                  <a:t>Stress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DM Sans" pitchFamily="2" charset="0"/>
                  <a:ea typeface="+mn-ea"/>
                  <a:cs typeface="+mn-cs"/>
                </a:defRPr>
              </a:pPr>
              <a:endParaRPr lang="th-T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DM Sans" pitchFamily="2" charset="0"/>
                <a:ea typeface="+mn-ea"/>
                <a:cs typeface="+mn-cs"/>
              </a:defRPr>
            </a:pPr>
            <a:endParaRPr lang="th-TH"/>
          </a:p>
        </c:txPr>
        <c:crossAx val="2035504511"/>
        <c:crosses val="autoZero"/>
        <c:crossBetween val="midCat"/>
      </c:valAx>
      <c:valAx>
        <c:axId val="203550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DM Sans" pitchFamily="2" charset="0"/>
                    <a:ea typeface="+mn-ea"/>
                    <a:cs typeface="+mn-cs"/>
                  </a:defRPr>
                </a:pPr>
                <a:r>
                  <a:rPr lang="en-US" b="0" i="0" baseline="0">
                    <a:solidFill>
                      <a:schemeClr val="tx1"/>
                    </a:solidFill>
                    <a:latin typeface="DM Sans" pitchFamily="2" charset="0"/>
                  </a:rPr>
                  <a:t>Productivity 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DM Sans" pitchFamily="2" charset="0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DM Sans" pitchFamily="2" charset="0"/>
                <a:ea typeface="+mn-ea"/>
                <a:cs typeface="+mn-cs"/>
              </a:defRPr>
            </a:pPr>
            <a:endParaRPr lang="th-TH"/>
          </a:p>
        </c:txPr>
        <c:crossAx val="203550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leisure screen hours affects productivity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[1]Table1!$E$1</c:f>
              <c:strCache>
                <c:ptCount val="1"/>
                <c:pt idx="0">
                  <c:v>productivity_0_100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571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[1]Table1!$D$2:$D$391</c:f>
              <c:numCache>
                <c:formatCode>General</c:formatCode>
                <c:ptCount val="390"/>
                <c:pt idx="0">
                  <c:v>5.35</c:v>
                </c:pt>
                <c:pt idx="1">
                  <c:v>7.03</c:v>
                </c:pt>
                <c:pt idx="2">
                  <c:v>8.69</c:v>
                </c:pt>
                <c:pt idx="3">
                  <c:v>10.57</c:v>
                </c:pt>
                <c:pt idx="4">
                  <c:v>9.1300000000000008</c:v>
                </c:pt>
                <c:pt idx="5">
                  <c:v>9.3000000000000007</c:v>
                </c:pt>
                <c:pt idx="6">
                  <c:v>3.2</c:v>
                </c:pt>
                <c:pt idx="7">
                  <c:v>5.46</c:v>
                </c:pt>
                <c:pt idx="8">
                  <c:v>5.61</c:v>
                </c:pt>
                <c:pt idx="9">
                  <c:v>8.5299999999999994</c:v>
                </c:pt>
                <c:pt idx="10">
                  <c:v>6.85</c:v>
                </c:pt>
                <c:pt idx="11">
                  <c:v>4.71</c:v>
                </c:pt>
                <c:pt idx="12">
                  <c:v>5.75</c:v>
                </c:pt>
                <c:pt idx="13">
                  <c:v>3.53</c:v>
                </c:pt>
                <c:pt idx="14">
                  <c:v>8.2799999999999994</c:v>
                </c:pt>
                <c:pt idx="15">
                  <c:v>10.67</c:v>
                </c:pt>
                <c:pt idx="16">
                  <c:v>8.0399999999999991</c:v>
                </c:pt>
                <c:pt idx="17">
                  <c:v>6.31</c:v>
                </c:pt>
                <c:pt idx="18">
                  <c:v>7.48</c:v>
                </c:pt>
                <c:pt idx="19">
                  <c:v>4.53</c:v>
                </c:pt>
                <c:pt idx="20">
                  <c:v>6.85</c:v>
                </c:pt>
                <c:pt idx="21">
                  <c:v>4.63</c:v>
                </c:pt>
                <c:pt idx="22">
                  <c:v>6.02</c:v>
                </c:pt>
                <c:pt idx="23">
                  <c:v>3.41</c:v>
                </c:pt>
                <c:pt idx="24">
                  <c:v>8.48</c:v>
                </c:pt>
                <c:pt idx="25">
                  <c:v>6.25</c:v>
                </c:pt>
                <c:pt idx="26">
                  <c:v>6.13</c:v>
                </c:pt>
                <c:pt idx="27">
                  <c:v>6.28</c:v>
                </c:pt>
                <c:pt idx="28">
                  <c:v>6.7</c:v>
                </c:pt>
                <c:pt idx="29">
                  <c:v>9.09</c:v>
                </c:pt>
                <c:pt idx="30">
                  <c:v>5.59</c:v>
                </c:pt>
                <c:pt idx="31">
                  <c:v>6.81</c:v>
                </c:pt>
                <c:pt idx="32">
                  <c:v>5.64</c:v>
                </c:pt>
                <c:pt idx="33">
                  <c:v>10.81</c:v>
                </c:pt>
                <c:pt idx="34">
                  <c:v>12.4</c:v>
                </c:pt>
                <c:pt idx="35">
                  <c:v>4.46</c:v>
                </c:pt>
                <c:pt idx="36">
                  <c:v>8.0399999999999991</c:v>
                </c:pt>
                <c:pt idx="37">
                  <c:v>6.83</c:v>
                </c:pt>
                <c:pt idx="38">
                  <c:v>7.49</c:v>
                </c:pt>
                <c:pt idx="39">
                  <c:v>4.8899999999999997</c:v>
                </c:pt>
                <c:pt idx="40">
                  <c:v>5.29</c:v>
                </c:pt>
                <c:pt idx="41">
                  <c:v>8.66</c:v>
                </c:pt>
                <c:pt idx="42">
                  <c:v>2.2000000000000002</c:v>
                </c:pt>
                <c:pt idx="43">
                  <c:v>7.17</c:v>
                </c:pt>
                <c:pt idx="44">
                  <c:v>5.97</c:v>
                </c:pt>
                <c:pt idx="45">
                  <c:v>4.53</c:v>
                </c:pt>
                <c:pt idx="46">
                  <c:v>6.01</c:v>
                </c:pt>
                <c:pt idx="47">
                  <c:v>6.7</c:v>
                </c:pt>
                <c:pt idx="48">
                  <c:v>6.16</c:v>
                </c:pt>
                <c:pt idx="49">
                  <c:v>12.3</c:v>
                </c:pt>
                <c:pt idx="50">
                  <c:v>6.41</c:v>
                </c:pt>
                <c:pt idx="51">
                  <c:v>4.66</c:v>
                </c:pt>
                <c:pt idx="52">
                  <c:v>7.15</c:v>
                </c:pt>
                <c:pt idx="53">
                  <c:v>9.6199999999999992</c:v>
                </c:pt>
                <c:pt idx="54">
                  <c:v>7.07</c:v>
                </c:pt>
                <c:pt idx="55">
                  <c:v>7.15</c:v>
                </c:pt>
                <c:pt idx="56">
                  <c:v>6.21</c:v>
                </c:pt>
                <c:pt idx="57">
                  <c:v>5.32</c:v>
                </c:pt>
                <c:pt idx="58">
                  <c:v>10.39</c:v>
                </c:pt>
                <c:pt idx="59">
                  <c:v>6.98</c:v>
                </c:pt>
                <c:pt idx="60">
                  <c:v>9.41</c:v>
                </c:pt>
                <c:pt idx="61">
                  <c:v>6.35</c:v>
                </c:pt>
                <c:pt idx="62">
                  <c:v>9.6999999999999993</c:v>
                </c:pt>
                <c:pt idx="63">
                  <c:v>5.65</c:v>
                </c:pt>
                <c:pt idx="64">
                  <c:v>3.05</c:v>
                </c:pt>
                <c:pt idx="65">
                  <c:v>3</c:v>
                </c:pt>
                <c:pt idx="66">
                  <c:v>9.43</c:v>
                </c:pt>
                <c:pt idx="67">
                  <c:v>7.53</c:v>
                </c:pt>
                <c:pt idx="68">
                  <c:v>5.85</c:v>
                </c:pt>
                <c:pt idx="69">
                  <c:v>7.78</c:v>
                </c:pt>
                <c:pt idx="70">
                  <c:v>7.49</c:v>
                </c:pt>
                <c:pt idx="71">
                  <c:v>6.76</c:v>
                </c:pt>
                <c:pt idx="72">
                  <c:v>4.97</c:v>
                </c:pt>
                <c:pt idx="73">
                  <c:v>7</c:v>
                </c:pt>
                <c:pt idx="74">
                  <c:v>5.0599999999999996</c:v>
                </c:pt>
                <c:pt idx="75">
                  <c:v>4.6900000000000004</c:v>
                </c:pt>
                <c:pt idx="76">
                  <c:v>4.79</c:v>
                </c:pt>
                <c:pt idx="77">
                  <c:v>2.91</c:v>
                </c:pt>
                <c:pt idx="78">
                  <c:v>10.87</c:v>
                </c:pt>
                <c:pt idx="79">
                  <c:v>7.2</c:v>
                </c:pt>
                <c:pt idx="80">
                  <c:v>7.15</c:v>
                </c:pt>
                <c:pt idx="81">
                  <c:v>4.99</c:v>
                </c:pt>
                <c:pt idx="82">
                  <c:v>3.47</c:v>
                </c:pt>
                <c:pt idx="83">
                  <c:v>6.95</c:v>
                </c:pt>
                <c:pt idx="84">
                  <c:v>3.54</c:v>
                </c:pt>
                <c:pt idx="85">
                  <c:v>4.5999999999999996</c:v>
                </c:pt>
                <c:pt idx="86">
                  <c:v>7.57</c:v>
                </c:pt>
                <c:pt idx="87">
                  <c:v>6.71</c:v>
                </c:pt>
                <c:pt idx="88">
                  <c:v>7.29</c:v>
                </c:pt>
                <c:pt idx="89">
                  <c:v>4.5999999999999996</c:v>
                </c:pt>
                <c:pt idx="90">
                  <c:v>6.71</c:v>
                </c:pt>
                <c:pt idx="91">
                  <c:v>7.35</c:v>
                </c:pt>
                <c:pt idx="92">
                  <c:v>6.79</c:v>
                </c:pt>
                <c:pt idx="93">
                  <c:v>6.43</c:v>
                </c:pt>
                <c:pt idx="94">
                  <c:v>9.16</c:v>
                </c:pt>
                <c:pt idx="95">
                  <c:v>5.01</c:v>
                </c:pt>
                <c:pt idx="96">
                  <c:v>5.94</c:v>
                </c:pt>
                <c:pt idx="97">
                  <c:v>3.02</c:v>
                </c:pt>
                <c:pt idx="98">
                  <c:v>7.2</c:v>
                </c:pt>
                <c:pt idx="99">
                  <c:v>4.5999999999999996</c:v>
                </c:pt>
                <c:pt idx="100">
                  <c:v>8.1</c:v>
                </c:pt>
                <c:pt idx="101">
                  <c:v>6.71</c:v>
                </c:pt>
                <c:pt idx="102">
                  <c:v>3.82</c:v>
                </c:pt>
                <c:pt idx="103">
                  <c:v>5.72</c:v>
                </c:pt>
                <c:pt idx="104">
                  <c:v>4.2699999999999996</c:v>
                </c:pt>
                <c:pt idx="105">
                  <c:v>6.15</c:v>
                </c:pt>
                <c:pt idx="106">
                  <c:v>10.26</c:v>
                </c:pt>
                <c:pt idx="107">
                  <c:v>8.06</c:v>
                </c:pt>
                <c:pt idx="108">
                  <c:v>9.39</c:v>
                </c:pt>
                <c:pt idx="109">
                  <c:v>5.99</c:v>
                </c:pt>
                <c:pt idx="110">
                  <c:v>10.19</c:v>
                </c:pt>
                <c:pt idx="111">
                  <c:v>6.03</c:v>
                </c:pt>
                <c:pt idx="112">
                  <c:v>9.5500000000000007</c:v>
                </c:pt>
                <c:pt idx="113">
                  <c:v>11.34</c:v>
                </c:pt>
                <c:pt idx="114">
                  <c:v>3.63</c:v>
                </c:pt>
                <c:pt idx="115">
                  <c:v>8.98</c:v>
                </c:pt>
                <c:pt idx="116">
                  <c:v>7.3</c:v>
                </c:pt>
                <c:pt idx="117">
                  <c:v>5.3</c:v>
                </c:pt>
                <c:pt idx="118">
                  <c:v>7.93</c:v>
                </c:pt>
                <c:pt idx="119">
                  <c:v>6.1</c:v>
                </c:pt>
                <c:pt idx="120">
                  <c:v>7.5</c:v>
                </c:pt>
                <c:pt idx="121">
                  <c:v>6.6</c:v>
                </c:pt>
                <c:pt idx="122">
                  <c:v>6.41</c:v>
                </c:pt>
                <c:pt idx="123">
                  <c:v>5.7</c:v>
                </c:pt>
                <c:pt idx="124">
                  <c:v>8.5</c:v>
                </c:pt>
                <c:pt idx="125">
                  <c:v>9.2799999999999994</c:v>
                </c:pt>
                <c:pt idx="126">
                  <c:v>3.7</c:v>
                </c:pt>
                <c:pt idx="127">
                  <c:v>7.32</c:v>
                </c:pt>
                <c:pt idx="128">
                  <c:v>4.3600000000000003</c:v>
                </c:pt>
                <c:pt idx="129">
                  <c:v>9.31</c:v>
                </c:pt>
                <c:pt idx="130">
                  <c:v>4.97</c:v>
                </c:pt>
                <c:pt idx="131">
                  <c:v>9.6300000000000008</c:v>
                </c:pt>
                <c:pt idx="132">
                  <c:v>2.23</c:v>
                </c:pt>
                <c:pt idx="133">
                  <c:v>5.56</c:v>
                </c:pt>
                <c:pt idx="134">
                  <c:v>6.4</c:v>
                </c:pt>
                <c:pt idx="135">
                  <c:v>7.69</c:v>
                </c:pt>
                <c:pt idx="136">
                  <c:v>3.86</c:v>
                </c:pt>
                <c:pt idx="137">
                  <c:v>6.92</c:v>
                </c:pt>
                <c:pt idx="138">
                  <c:v>9.94</c:v>
                </c:pt>
                <c:pt idx="139">
                  <c:v>8.81</c:v>
                </c:pt>
                <c:pt idx="140">
                  <c:v>2.98</c:v>
                </c:pt>
                <c:pt idx="141">
                  <c:v>5.56</c:v>
                </c:pt>
                <c:pt idx="142">
                  <c:v>6.9</c:v>
                </c:pt>
                <c:pt idx="143">
                  <c:v>10.27</c:v>
                </c:pt>
                <c:pt idx="144">
                  <c:v>4.53</c:v>
                </c:pt>
                <c:pt idx="145">
                  <c:v>5.71</c:v>
                </c:pt>
                <c:pt idx="146">
                  <c:v>8.18</c:v>
                </c:pt>
                <c:pt idx="147">
                  <c:v>7.1</c:v>
                </c:pt>
                <c:pt idx="148">
                  <c:v>7.04</c:v>
                </c:pt>
                <c:pt idx="149">
                  <c:v>7.28</c:v>
                </c:pt>
                <c:pt idx="150">
                  <c:v>5.74</c:v>
                </c:pt>
                <c:pt idx="151">
                  <c:v>6.12</c:v>
                </c:pt>
                <c:pt idx="152">
                  <c:v>9.0399999999999991</c:v>
                </c:pt>
                <c:pt idx="153">
                  <c:v>9.33</c:v>
                </c:pt>
                <c:pt idx="154">
                  <c:v>4.72</c:v>
                </c:pt>
                <c:pt idx="155">
                  <c:v>8.48</c:v>
                </c:pt>
                <c:pt idx="156">
                  <c:v>8.5299999999999994</c:v>
                </c:pt>
                <c:pt idx="157">
                  <c:v>9.26</c:v>
                </c:pt>
                <c:pt idx="158">
                  <c:v>5.91</c:v>
                </c:pt>
                <c:pt idx="159">
                  <c:v>5.79</c:v>
                </c:pt>
                <c:pt idx="160">
                  <c:v>3.75</c:v>
                </c:pt>
                <c:pt idx="161">
                  <c:v>9.19</c:v>
                </c:pt>
                <c:pt idx="162">
                  <c:v>4.51</c:v>
                </c:pt>
                <c:pt idx="163">
                  <c:v>5.33</c:v>
                </c:pt>
                <c:pt idx="164">
                  <c:v>9.5399999999999991</c:v>
                </c:pt>
                <c:pt idx="165">
                  <c:v>9.91</c:v>
                </c:pt>
                <c:pt idx="166">
                  <c:v>6.22</c:v>
                </c:pt>
                <c:pt idx="167">
                  <c:v>5.57</c:v>
                </c:pt>
                <c:pt idx="168">
                  <c:v>8.64</c:v>
                </c:pt>
                <c:pt idx="169">
                  <c:v>7.59</c:v>
                </c:pt>
                <c:pt idx="170">
                  <c:v>7.33</c:v>
                </c:pt>
                <c:pt idx="171">
                  <c:v>3.89</c:v>
                </c:pt>
                <c:pt idx="172">
                  <c:v>4.83</c:v>
                </c:pt>
                <c:pt idx="173">
                  <c:v>7</c:v>
                </c:pt>
                <c:pt idx="174">
                  <c:v>5.68</c:v>
                </c:pt>
                <c:pt idx="175">
                  <c:v>3.99</c:v>
                </c:pt>
                <c:pt idx="176">
                  <c:v>8.14</c:v>
                </c:pt>
                <c:pt idx="177">
                  <c:v>6.41</c:v>
                </c:pt>
                <c:pt idx="178">
                  <c:v>6.42</c:v>
                </c:pt>
                <c:pt idx="179">
                  <c:v>6.7</c:v>
                </c:pt>
                <c:pt idx="180">
                  <c:v>10.41</c:v>
                </c:pt>
                <c:pt idx="181">
                  <c:v>8.18</c:v>
                </c:pt>
                <c:pt idx="182">
                  <c:v>4.32</c:v>
                </c:pt>
                <c:pt idx="183">
                  <c:v>5.56</c:v>
                </c:pt>
                <c:pt idx="184">
                  <c:v>11.48</c:v>
                </c:pt>
                <c:pt idx="185">
                  <c:v>9.35</c:v>
                </c:pt>
                <c:pt idx="186">
                  <c:v>6.31</c:v>
                </c:pt>
                <c:pt idx="187">
                  <c:v>5.0999999999999996</c:v>
                </c:pt>
                <c:pt idx="188">
                  <c:v>9.86</c:v>
                </c:pt>
                <c:pt idx="189">
                  <c:v>6.81</c:v>
                </c:pt>
                <c:pt idx="190">
                  <c:v>5.27</c:v>
                </c:pt>
                <c:pt idx="191">
                  <c:v>8.31</c:v>
                </c:pt>
                <c:pt idx="192">
                  <c:v>4.33</c:v>
                </c:pt>
                <c:pt idx="193">
                  <c:v>11.07</c:v>
                </c:pt>
                <c:pt idx="194">
                  <c:v>7.31</c:v>
                </c:pt>
                <c:pt idx="195">
                  <c:v>4.7300000000000004</c:v>
                </c:pt>
                <c:pt idx="196">
                  <c:v>5.5</c:v>
                </c:pt>
                <c:pt idx="197">
                  <c:v>7.49</c:v>
                </c:pt>
                <c:pt idx="198">
                  <c:v>6.84</c:v>
                </c:pt>
                <c:pt idx="199">
                  <c:v>9.8000000000000007</c:v>
                </c:pt>
                <c:pt idx="200">
                  <c:v>8.08</c:v>
                </c:pt>
                <c:pt idx="201">
                  <c:v>6.58</c:v>
                </c:pt>
                <c:pt idx="202">
                  <c:v>3.41</c:v>
                </c:pt>
                <c:pt idx="203">
                  <c:v>9.58</c:v>
                </c:pt>
                <c:pt idx="204">
                  <c:v>9.6300000000000008</c:v>
                </c:pt>
                <c:pt idx="205">
                  <c:v>5.22</c:v>
                </c:pt>
                <c:pt idx="206">
                  <c:v>10.59</c:v>
                </c:pt>
                <c:pt idx="207">
                  <c:v>1.69</c:v>
                </c:pt>
                <c:pt idx="208">
                  <c:v>6.24</c:v>
                </c:pt>
                <c:pt idx="209">
                  <c:v>8.92</c:v>
                </c:pt>
                <c:pt idx="210">
                  <c:v>6.42</c:v>
                </c:pt>
                <c:pt idx="211">
                  <c:v>10.96</c:v>
                </c:pt>
                <c:pt idx="212">
                  <c:v>8.15</c:v>
                </c:pt>
                <c:pt idx="213">
                  <c:v>7</c:v>
                </c:pt>
                <c:pt idx="214">
                  <c:v>8.81</c:v>
                </c:pt>
                <c:pt idx="215">
                  <c:v>3.53</c:v>
                </c:pt>
                <c:pt idx="216">
                  <c:v>7.3</c:v>
                </c:pt>
                <c:pt idx="217">
                  <c:v>7.24</c:v>
                </c:pt>
                <c:pt idx="218">
                  <c:v>8.52</c:v>
                </c:pt>
                <c:pt idx="219">
                  <c:v>6.36</c:v>
                </c:pt>
                <c:pt idx="220">
                  <c:v>6.21</c:v>
                </c:pt>
                <c:pt idx="221">
                  <c:v>7.18</c:v>
                </c:pt>
                <c:pt idx="222">
                  <c:v>5.45</c:v>
                </c:pt>
                <c:pt idx="223">
                  <c:v>9.39</c:v>
                </c:pt>
                <c:pt idx="224">
                  <c:v>6.78</c:v>
                </c:pt>
                <c:pt idx="225">
                  <c:v>5.89</c:v>
                </c:pt>
                <c:pt idx="226">
                  <c:v>6.3</c:v>
                </c:pt>
                <c:pt idx="227">
                  <c:v>7.12</c:v>
                </c:pt>
                <c:pt idx="228">
                  <c:v>4.78</c:v>
                </c:pt>
                <c:pt idx="229">
                  <c:v>7.51</c:v>
                </c:pt>
                <c:pt idx="230">
                  <c:v>9.43</c:v>
                </c:pt>
                <c:pt idx="231">
                  <c:v>8.23</c:v>
                </c:pt>
                <c:pt idx="232">
                  <c:v>8.59</c:v>
                </c:pt>
                <c:pt idx="233">
                  <c:v>5.86</c:v>
                </c:pt>
                <c:pt idx="234">
                  <c:v>5.26</c:v>
                </c:pt>
                <c:pt idx="235">
                  <c:v>6.14</c:v>
                </c:pt>
                <c:pt idx="236">
                  <c:v>9.82</c:v>
                </c:pt>
                <c:pt idx="237">
                  <c:v>9.6199999999999992</c:v>
                </c:pt>
                <c:pt idx="238">
                  <c:v>2.11</c:v>
                </c:pt>
                <c:pt idx="239">
                  <c:v>6.62</c:v>
                </c:pt>
                <c:pt idx="240">
                  <c:v>7.58</c:v>
                </c:pt>
                <c:pt idx="241">
                  <c:v>3.86</c:v>
                </c:pt>
                <c:pt idx="242">
                  <c:v>6.85</c:v>
                </c:pt>
                <c:pt idx="243">
                  <c:v>6.28</c:v>
                </c:pt>
                <c:pt idx="244">
                  <c:v>4.46</c:v>
                </c:pt>
                <c:pt idx="245">
                  <c:v>12.87</c:v>
                </c:pt>
                <c:pt idx="246">
                  <c:v>9.15</c:v>
                </c:pt>
                <c:pt idx="247">
                  <c:v>1.99</c:v>
                </c:pt>
                <c:pt idx="248">
                  <c:v>8.8000000000000007</c:v>
                </c:pt>
                <c:pt idx="249">
                  <c:v>8.5</c:v>
                </c:pt>
                <c:pt idx="250">
                  <c:v>7.87</c:v>
                </c:pt>
                <c:pt idx="251">
                  <c:v>5.96</c:v>
                </c:pt>
                <c:pt idx="252">
                  <c:v>6.04</c:v>
                </c:pt>
                <c:pt idx="253">
                  <c:v>11.78</c:v>
                </c:pt>
                <c:pt idx="254">
                  <c:v>7.09</c:v>
                </c:pt>
                <c:pt idx="255">
                  <c:v>8.18</c:v>
                </c:pt>
                <c:pt idx="256">
                  <c:v>6.66</c:v>
                </c:pt>
                <c:pt idx="257">
                  <c:v>7.07</c:v>
                </c:pt>
                <c:pt idx="258">
                  <c:v>3.13</c:v>
                </c:pt>
                <c:pt idx="259">
                  <c:v>6.65</c:v>
                </c:pt>
                <c:pt idx="260">
                  <c:v>10.97</c:v>
                </c:pt>
                <c:pt idx="261">
                  <c:v>5.78</c:v>
                </c:pt>
                <c:pt idx="262">
                  <c:v>6.28</c:v>
                </c:pt>
                <c:pt idx="263">
                  <c:v>2.19</c:v>
                </c:pt>
                <c:pt idx="264">
                  <c:v>5</c:v>
                </c:pt>
                <c:pt idx="265">
                  <c:v>10.039999999999999</c:v>
                </c:pt>
                <c:pt idx="266">
                  <c:v>7.12</c:v>
                </c:pt>
                <c:pt idx="267">
                  <c:v>7.13</c:v>
                </c:pt>
                <c:pt idx="268">
                  <c:v>8.83</c:v>
                </c:pt>
                <c:pt idx="269">
                  <c:v>3.43</c:v>
                </c:pt>
                <c:pt idx="270">
                  <c:v>4.34</c:v>
                </c:pt>
                <c:pt idx="271">
                  <c:v>6.57</c:v>
                </c:pt>
                <c:pt idx="272">
                  <c:v>5.46</c:v>
                </c:pt>
                <c:pt idx="273">
                  <c:v>8.25</c:v>
                </c:pt>
                <c:pt idx="274">
                  <c:v>6.99</c:v>
                </c:pt>
                <c:pt idx="275">
                  <c:v>4.1100000000000003</c:v>
                </c:pt>
                <c:pt idx="276">
                  <c:v>2.15</c:v>
                </c:pt>
                <c:pt idx="277">
                  <c:v>7.96</c:v>
                </c:pt>
                <c:pt idx="278">
                  <c:v>5.66</c:v>
                </c:pt>
                <c:pt idx="279">
                  <c:v>10.1</c:v>
                </c:pt>
                <c:pt idx="280">
                  <c:v>9.69</c:v>
                </c:pt>
                <c:pt idx="281">
                  <c:v>8.84</c:v>
                </c:pt>
                <c:pt idx="282">
                  <c:v>7.24</c:v>
                </c:pt>
                <c:pt idx="283">
                  <c:v>4.1399999999999997</c:v>
                </c:pt>
                <c:pt idx="284">
                  <c:v>8.44</c:v>
                </c:pt>
                <c:pt idx="285">
                  <c:v>9.9499999999999993</c:v>
                </c:pt>
                <c:pt idx="286">
                  <c:v>5.04</c:v>
                </c:pt>
                <c:pt idx="287">
                  <c:v>5.55</c:v>
                </c:pt>
                <c:pt idx="288">
                  <c:v>10.25</c:v>
                </c:pt>
                <c:pt idx="289">
                  <c:v>5.85</c:v>
                </c:pt>
                <c:pt idx="290">
                  <c:v>7.52</c:v>
                </c:pt>
                <c:pt idx="291">
                  <c:v>5.86</c:v>
                </c:pt>
                <c:pt idx="292">
                  <c:v>5.47</c:v>
                </c:pt>
                <c:pt idx="293">
                  <c:v>10.24</c:v>
                </c:pt>
                <c:pt idx="294">
                  <c:v>5.9</c:v>
                </c:pt>
                <c:pt idx="295">
                  <c:v>9.84</c:v>
                </c:pt>
                <c:pt idx="296">
                  <c:v>5.84</c:v>
                </c:pt>
                <c:pt idx="297">
                  <c:v>10.95</c:v>
                </c:pt>
                <c:pt idx="298">
                  <c:v>8.36</c:v>
                </c:pt>
                <c:pt idx="299">
                  <c:v>8.57</c:v>
                </c:pt>
                <c:pt idx="300">
                  <c:v>6.39</c:v>
                </c:pt>
                <c:pt idx="301">
                  <c:v>5.49</c:v>
                </c:pt>
                <c:pt idx="302">
                  <c:v>4.2</c:v>
                </c:pt>
                <c:pt idx="303">
                  <c:v>5.39</c:v>
                </c:pt>
                <c:pt idx="304">
                  <c:v>4.45</c:v>
                </c:pt>
                <c:pt idx="305">
                  <c:v>8.2200000000000006</c:v>
                </c:pt>
                <c:pt idx="306">
                  <c:v>8.18</c:v>
                </c:pt>
                <c:pt idx="307">
                  <c:v>5.12</c:v>
                </c:pt>
                <c:pt idx="308">
                  <c:v>5.3</c:v>
                </c:pt>
                <c:pt idx="309">
                  <c:v>7.38</c:v>
                </c:pt>
                <c:pt idx="310">
                  <c:v>7.88</c:v>
                </c:pt>
                <c:pt idx="311">
                  <c:v>9.52</c:v>
                </c:pt>
                <c:pt idx="312">
                  <c:v>8.41</c:v>
                </c:pt>
                <c:pt idx="313">
                  <c:v>8.56</c:v>
                </c:pt>
                <c:pt idx="314">
                  <c:v>3.35</c:v>
                </c:pt>
                <c:pt idx="315">
                  <c:v>8.7100000000000009</c:v>
                </c:pt>
                <c:pt idx="316">
                  <c:v>6.44</c:v>
                </c:pt>
                <c:pt idx="317">
                  <c:v>8.2899999999999991</c:v>
                </c:pt>
                <c:pt idx="318">
                  <c:v>2.59</c:v>
                </c:pt>
                <c:pt idx="319">
                  <c:v>6.16</c:v>
                </c:pt>
                <c:pt idx="320">
                  <c:v>11.03</c:v>
                </c:pt>
                <c:pt idx="321">
                  <c:v>8.52</c:v>
                </c:pt>
                <c:pt idx="322">
                  <c:v>4</c:v>
                </c:pt>
                <c:pt idx="323">
                  <c:v>9.27</c:v>
                </c:pt>
                <c:pt idx="324">
                  <c:v>7.11</c:v>
                </c:pt>
                <c:pt idx="325">
                  <c:v>7.72</c:v>
                </c:pt>
                <c:pt idx="326">
                  <c:v>6.44</c:v>
                </c:pt>
                <c:pt idx="327">
                  <c:v>9.0500000000000007</c:v>
                </c:pt>
                <c:pt idx="328">
                  <c:v>8.31</c:v>
                </c:pt>
                <c:pt idx="329">
                  <c:v>10.59</c:v>
                </c:pt>
                <c:pt idx="330">
                  <c:v>8.7799999999999994</c:v>
                </c:pt>
                <c:pt idx="331">
                  <c:v>7.95</c:v>
                </c:pt>
                <c:pt idx="332">
                  <c:v>6.27</c:v>
                </c:pt>
                <c:pt idx="333">
                  <c:v>8.9600000000000009</c:v>
                </c:pt>
                <c:pt idx="334">
                  <c:v>2.2799999999999998</c:v>
                </c:pt>
                <c:pt idx="335">
                  <c:v>3.37</c:v>
                </c:pt>
                <c:pt idx="336">
                  <c:v>5.56</c:v>
                </c:pt>
                <c:pt idx="337">
                  <c:v>7.84</c:v>
                </c:pt>
                <c:pt idx="338">
                  <c:v>6.41</c:v>
                </c:pt>
                <c:pt idx="339">
                  <c:v>8.02</c:v>
                </c:pt>
                <c:pt idx="340">
                  <c:v>6.14</c:v>
                </c:pt>
                <c:pt idx="341">
                  <c:v>4.71</c:v>
                </c:pt>
                <c:pt idx="342">
                  <c:v>7.74</c:v>
                </c:pt>
                <c:pt idx="343">
                  <c:v>6.66</c:v>
                </c:pt>
                <c:pt idx="344">
                  <c:v>5.52</c:v>
                </c:pt>
                <c:pt idx="345">
                  <c:v>7.46</c:v>
                </c:pt>
                <c:pt idx="346">
                  <c:v>6.62</c:v>
                </c:pt>
                <c:pt idx="347">
                  <c:v>9.81</c:v>
                </c:pt>
                <c:pt idx="348">
                  <c:v>6.13</c:v>
                </c:pt>
                <c:pt idx="349">
                  <c:v>4.17</c:v>
                </c:pt>
                <c:pt idx="350">
                  <c:v>9.5399999999999991</c:v>
                </c:pt>
                <c:pt idx="351">
                  <c:v>9.73</c:v>
                </c:pt>
                <c:pt idx="352">
                  <c:v>5.32</c:v>
                </c:pt>
                <c:pt idx="353">
                  <c:v>10.74</c:v>
                </c:pt>
                <c:pt idx="354">
                  <c:v>9.8699999999999992</c:v>
                </c:pt>
                <c:pt idx="355">
                  <c:v>6.36</c:v>
                </c:pt>
                <c:pt idx="356">
                  <c:v>5.87</c:v>
                </c:pt>
                <c:pt idx="357">
                  <c:v>6.21</c:v>
                </c:pt>
                <c:pt idx="358">
                  <c:v>5.53</c:v>
                </c:pt>
                <c:pt idx="359">
                  <c:v>5.25</c:v>
                </c:pt>
                <c:pt idx="360">
                  <c:v>5.22</c:v>
                </c:pt>
                <c:pt idx="361">
                  <c:v>7.19</c:v>
                </c:pt>
                <c:pt idx="362">
                  <c:v>6.4</c:v>
                </c:pt>
                <c:pt idx="363">
                  <c:v>9.56</c:v>
                </c:pt>
                <c:pt idx="364">
                  <c:v>5.48</c:v>
                </c:pt>
                <c:pt idx="365">
                  <c:v>6.81</c:v>
                </c:pt>
                <c:pt idx="366">
                  <c:v>7.55</c:v>
                </c:pt>
                <c:pt idx="367">
                  <c:v>6.28</c:v>
                </c:pt>
                <c:pt idx="368">
                  <c:v>5.24</c:v>
                </c:pt>
                <c:pt idx="369">
                  <c:v>4.33</c:v>
                </c:pt>
                <c:pt idx="370">
                  <c:v>5.5</c:v>
                </c:pt>
                <c:pt idx="371">
                  <c:v>10.81</c:v>
                </c:pt>
                <c:pt idx="372">
                  <c:v>9.5299999999999994</c:v>
                </c:pt>
                <c:pt idx="373">
                  <c:v>6.4</c:v>
                </c:pt>
                <c:pt idx="374">
                  <c:v>3.53</c:v>
                </c:pt>
                <c:pt idx="375">
                  <c:v>6.47</c:v>
                </c:pt>
                <c:pt idx="376">
                  <c:v>5.44</c:v>
                </c:pt>
                <c:pt idx="377">
                  <c:v>6.68</c:v>
                </c:pt>
                <c:pt idx="378">
                  <c:v>6.79</c:v>
                </c:pt>
                <c:pt idx="379">
                  <c:v>9.42</c:v>
                </c:pt>
                <c:pt idx="380">
                  <c:v>5.6</c:v>
                </c:pt>
                <c:pt idx="381">
                  <c:v>6.28</c:v>
                </c:pt>
                <c:pt idx="382">
                  <c:v>9.91</c:v>
                </c:pt>
                <c:pt idx="383">
                  <c:v>6.76</c:v>
                </c:pt>
                <c:pt idx="384">
                  <c:v>7.8</c:v>
                </c:pt>
                <c:pt idx="385">
                  <c:v>3.44</c:v>
                </c:pt>
                <c:pt idx="386">
                  <c:v>4.1500000000000004</c:v>
                </c:pt>
                <c:pt idx="387">
                  <c:v>6.36</c:v>
                </c:pt>
                <c:pt idx="388">
                  <c:v>4.0999999999999996</c:v>
                </c:pt>
                <c:pt idx="389">
                  <c:v>5.04</c:v>
                </c:pt>
              </c:numCache>
            </c:numRef>
          </c:xVal>
          <c:yVal>
            <c:numRef>
              <c:f>[1]Table1!$E$2:$E$391</c:f>
              <c:numCache>
                <c:formatCode>General</c:formatCode>
                <c:ptCount val="390"/>
                <c:pt idx="0">
                  <c:v>44.7</c:v>
                </c:pt>
                <c:pt idx="1">
                  <c:v>78</c:v>
                </c:pt>
                <c:pt idx="2">
                  <c:v>51.8</c:v>
                </c:pt>
                <c:pt idx="3">
                  <c:v>37</c:v>
                </c:pt>
                <c:pt idx="4">
                  <c:v>38.5</c:v>
                </c:pt>
                <c:pt idx="5">
                  <c:v>44</c:v>
                </c:pt>
                <c:pt idx="6">
                  <c:v>64.8</c:v>
                </c:pt>
                <c:pt idx="7">
                  <c:v>87</c:v>
                </c:pt>
                <c:pt idx="8">
                  <c:v>91.7</c:v>
                </c:pt>
                <c:pt idx="9">
                  <c:v>42.2</c:v>
                </c:pt>
                <c:pt idx="10">
                  <c:v>55.9</c:v>
                </c:pt>
                <c:pt idx="11">
                  <c:v>88.4</c:v>
                </c:pt>
                <c:pt idx="12">
                  <c:v>33</c:v>
                </c:pt>
                <c:pt idx="13">
                  <c:v>70.7</c:v>
                </c:pt>
                <c:pt idx="14">
                  <c:v>53.2</c:v>
                </c:pt>
                <c:pt idx="15">
                  <c:v>37.6</c:v>
                </c:pt>
                <c:pt idx="16">
                  <c:v>60.3</c:v>
                </c:pt>
                <c:pt idx="17">
                  <c:v>49</c:v>
                </c:pt>
                <c:pt idx="18">
                  <c:v>85.1</c:v>
                </c:pt>
                <c:pt idx="19">
                  <c:v>52</c:v>
                </c:pt>
                <c:pt idx="20">
                  <c:v>48.1</c:v>
                </c:pt>
                <c:pt idx="21">
                  <c:v>53.1</c:v>
                </c:pt>
                <c:pt idx="22">
                  <c:v>76.400000000000006</c:v>
                </c:pt>
                <c:pt idx="23">
                  <c:v>77.3</c:v>
                </c:pt>
                <c:pt idx="24">
                  <c:v>50.3</c:v>
                </c:pt>
                <c:pt idx="25">
                  <c:v>51</c:v>
                </c:pt>
                <c:pt idx="26">
                  <c:v>53.3</c:v>
                </c:pt>
                <c:pt idx="27">
                  <c:v>60</c:v>
                </c:pt>
                <c:pt idx="28">
                  <c:v>61.1</c:v>
                </c:pt>
                <c:pt idx="29">
                  <c:v>38</c:v>
                </c:pt>
                <c:pt idx="30">
                  <c:v>52.1</c:v>
                </c:pt>
                <c:pt idx="31">
                  <c:v>42.6</c:v>
                </c:pt>
                <c:pt idx="32">
                  <c:v>60.3</c:v>
                </c:pt>
                <c:pt idx="33">
                  <c:v>57</c:v>
                </c:pt>
                <c:pt idx="34">
                  <c:v>39.6</c:v>
                </c:pt>
                <c:pt idx="35">
                  <c:v>53.6</c:v>
                </c:pt>
                <c:pt idx="36">
                  <c:v>45.7</c:v>
                </c:pt>
                <c:pt idx="37">
                  <c:v>68.099999999999994</c:v>
                </c:pt>
                <c:pt idx="38">
                  <c:v>49.8</c:v>
                </c:pt>
                <c:pt idx="39">
                  <c:v>51.6</c:v>
                </c:pt>
                <c:pt idx="40">
                  <c:v>67.400000000000006</c:v>
                </c:pt>
                <c:pt idx="41">
                  <c:v>51.7</c:v>
                </c:pt>
                <c:pt idx="42">
                  <c:v>77.7</c:v>
                </c:pt>
                <c:pt idx="43">
                  <c:v>37.6</c:v>
                </c:pt>
                <c:pt idx="44">
                  <c:v>58.8</c:v>
                </c:pt>
                <c:pt idx="45">
                  <c:v>79.599999999999994</c:v>
                </c:pt>
                <c:pt idx="46">
                  <c:v>49.2</c:v>
                </c:pt>
                <c:pt idx="47">
                  <c:v>34.799999999999997</c:v>
                </c:pt>
                <c:pt idx="48">
                  <c:v>52.8</c:v>
                </c:pt>
                <c:pt idx="49">
                  <c:v>27.1</c:v>
                </c:pt>
                <c:pt idx="50">
                  <c:v>56.8</c:v>
                </c:pt>
                <c:pt idx="51">
                  <c:v>38.5</c:v>
                </c:pt>
                <c:pt idx="52">
                  <c:v>44.9</c:v>
                </c:pt>
                <c:pt idx="53">
                  <c:v>44.8</c:v>
                </c:pt>
                <c:pt idx="54">
                  <c:v>60</c:v>
                </c:pt>
                <c:pt idx="55">
                  <c:v>51.7</c:v>
                </c:pt>
                <c:pt idx="56">
                  <c:v>74</c:v>
                </c:pt>
                <c:pt idx="57">
                  <c:v>81</c:v>
                </c:pt>
                <c:pt idx="58">
                  <c:v>67.8</c:v>
                </c:pt>
                <c:pt idx="59">
                  <c:v>40.299999999999997</c:v>
                </c:pt>
                <c:pt idx="60">
                  <c:v>46.3</c:v>
                </c:pt>
                <c:pt idx="61">
                  <c:v>45.8</c:v>
                </c:pt>
                <c:pt idx="62">
                  <c:v>42.2</c:v>
                </c:pt>
                <c:pt idx="63">
                  <c:v>51.1</c:v>
                </c:pt>
                <c:pt idx="64">
                  <c:v>48.3</c:v>
                </c:pt>
                <c:pt idx="65">
                  <c:v>86.3</c:v>
                </c:pt>
                <c:pt idx="66">
                  <c:v>38</c:v>
                </c:pt>
                <c:pt idx="67">
                  <c:v>50.3</c:v>
                </c:pt>
                <c:pt idx="68">
                  <c:v>76.5</c:v>
                </c:pt>
                <c:pt idx="69">
                  <c:v>65.099999999999994</c:v>
                </c:pt>
                <c:pt idx="70">
                  <c:v>59</c:v>
                </c:pt>
                <c:pt idx="71">
                  <c:v>43</c:v>
                </c:pt>
                <c:pt idx="72">
                  <c:v>68.5</c:v>
                </c:pt>
                <c:pt idx="73">
                  <c:v>56</c:v>
                </c:pt>
                <c:pt idx="74">
                  <c:v>74.5</c:v>
                </c:pt>
                <c:pt idx="75">
                  <c:v>51.1</c:v>
                </c:pt>
                <c:pt idx="76">
                  <c:v>60.5</c:v>
                </c:pt>
                <c:pt idx="77">
                  <c:v>88</c:v>
                </c:pt>
                <c:pt idx="78">
                  <c:v>41.5</c:v>
                </c:pt>
                <c:pt idx="79">
                  <c:v>67.7</c:v>
                </c:pt>
                <c:pt idx="80">
                  <c:v>45.5</c:v>
                </c:pt>
                <c:pt idx="81">
                  <c:v>88.3</c:v>
                </c:pt>
                <c:pt idx="82">
                  <c:v>66.3</c:v>
                </c:pt>
                <c:pt idx="83">
                  <c:v>55.9</c:v>
                </c:pt>
                <c:pt idx="84">
                  <c:v>82.3</c:v>
                </c:pt>
                <c:pt idx="85">
                  <c:v>64.400000000000006</c:v>
                </c:pt>
                <c:pt idx="86">
                  <c:v>50.4</c:v>
                </c:pt>
                <c:pt idx="87">
                  <c:v>46.5</c:v>
                </c:pt>
                <c:pt idx="88">
                  <c:v>58.3</c:v>
                </c:pt>
                <c:pt idx="89">
                  <c:v>68.7</c:v>
                </c:pt>
                <c:pt idx="90">
                  <c:v>43.9</c:v>
                </c:pt>
                <c:pt idx="91">
                  <c:v>40.6</c:v>
                </c:pt>
                <c:pt idx="92">
                  <c:v>57.1</c:v>
                </c:pt>
                <c:pt idx="93">
                  <c:v>49.9</c:v>
                </c:pt>
                <c:pt idx="94">
                  <c:v>51.5</c:v>
                </c:pt>
                <c:pt idx="95">
                  <c:v>53.5</c:v>
                </c:pt>
                <c:pt idx="96">
                  <c:v>48.4</c:v>
                </c:pt>
                <c:pt idx="97">
                  <c:v>61.4</c:v>
                </c:pt>
                <c:pt idx="98">
                  <c:v>53.9</c:v>
                </c:pt>
                <c:pt idx="99">
                  <c:v>58.5</c:v>
                </c:pt>
                <c:pt idx="100">
                  <c:v>45.4</c:v>
                </c:pt>
                <c:pt idx="101">
                  <c:v>74.8</c:v>
                </c:pt>
                <c:pt idx="102">
                  <c:v>66.8</c:v>
                </c:pt>
                <c:pt idx="103">
                  <c:v>33.200000000000003</c:v>
                </c:pt>
                <c:pt idx="104">
                  <c:v>68.3</c:v>
                </c:pt>
                <c:pt idx="105">
                  <c:v>36.1</c:v>
                </c:pt>
                <c:pt idx="106">
                  <c:v>36.4</c:v>
                </c:pt>
                <c:pt idx="107">
                  <c:v>26</c:v>
                </c:pt>
                <c:pt idx="108">
                  <c:v>44.8</c:v>
                </c:pt>
                <c:pt idx="109">
                  <c:v>86.8</c:v>
                </c:pt>
                <c:pt idx="110">
                  <c:v>42.3</c:v>
                </c:pt>
                <c:pt idx="111">
                  <c:v>35.9</c:v>
                </c:pt>
                <c:pt idx="112">
                  <c:v>56.7</c:v>
                </c:pt>
                <c:pt idx="113">
                  <c:v>37.299999999999997</c:v>
                </c:pt>
                <c:pt idx="114">
                  <c:v>52.6</c:v>
                </c:pt>
                <c:pt idx="115">
                  <c:v>55.1</c:v>
                </c:pt>
                <c:pt idx="116">
                  <c:v>56.2</c:v>
                </c:pt>
                <c:pt idx="117">
                  <c:v>47.2</c:v>
                </c:pt>
                <c:pt idx="118">
                  <c:v>52.1</c:v>
                </c:pt>
                <c:pt idx="119">
                  <c:v>73</c:v>
                </c:pt>
                <c:pt idx="120">
                  <c:v>80.400000000000006</c:v>
                </c:pt>
                <c:pt idx="121">
                  <c:v>40.9</c:v>
                </c:pt>
                <c:pt idx="122">
                  <c:v>70.8</c:v>
                </c:pt>
                <c:pt idx="123">
                  <c:v>49.3</c:v>
                </c:pt>
                <c:pt idx="124">
                  <c:v>67.400000000000006</c:v>
                </c:pt>
                <c:pt idx="125">
                  <c:v>59.5</c:v>
                </c:pt>
                <c:pt idx="126">
                  <c:v>40.9</c:v>
                </c:pt>
                <c:pt idx="127">
                  <c:v>56.7</c:v>
                </c:pt>
                <c:pt idx="128">
                  <c:v>79</c:v>
                </c:pt>
                <c:pt idx="129">
                  <c:v>60</c:v>
                </c:pt>
                <c:pt idx="130">
                  <c:v>56.1</c:v>
                </c:pt>
                <c:pt idx="131">
                  <c:v>39.4</c:v>
                </c:pt>
                <c:pt idx="132">
                  <c:v>64.099999999999994</c:v>
                </c:pt>
                <c:pt idx="133">
                  <c:v>68.8</c:v>
                </c:pt>
                <c:pt idx="134">
                  <c:v>50.5</c:v>
                </c:pt>
                <c:pt idx="135">
                  <c:v>34.4</c:v>
                </c:pt>
                <c:pt idx="136">
                  <c:v>79.099999999999994</c:v>
                </c:pt>
                <c:pt idx="137">
                  <c:v>56.2</c:v>
                </c:pt>
                <c:pt idx="138">
                  <c:v>41.2</c:v>
                </c:pt>
                <c:pt idx="139">
                  <c:v>73.599999999999994</c:v>
                </c:pt>
                <c:pt idx="140">
                  <c:v>79.599999999999994</c:v>
                </c:pt>
                <c:pt idx="141">
                  <c:v>67.099999999999994</c:v>
                </c:pt>
                <c:pt idx="142">
                  <c:v>54.4</c:v>
                </c:pt>
                <c:pt idx="143">
                  <c:v>36.4</c:v>
                </c:pt>
                <c:pt idx="144">
                  <c:v>44.2</c:v>
                </c:pt>
                <c:pt idx="145">
                  <c:v>64.8</c:v>
                </c:pt>
                <c:pt idx="146">
                  <c:v>45.4</c:v>
                </c:pt>
                <c:pt idx="147">
                  <c:v>37.9</c:v>
                </c:pt>
                <c:pt idx="148">
                  <c:v>51</c:v>
                </c:pt>
                <c:pt idx="149">
                  <c:v>50.4</c:v>
                </c:pt>
                <c:pt idx="150">
                  <c:v>48.5</c:v>
                </c:pt>
                <c:pt idx="151">
                  <c:v>77.900000000000006</c:v>
                </c:pt>
                <c:pt idx="152">
                  <c:v>44.6</c:v>
                </c:pt>
                <c:pt idx="153">
                  <c:v>37.700000000000003</c:v>
                </c:pt>
                <c:pt idx="154">
                  <c:v>58.2</c:v>
                </c:pt>
                <c:pt idx="155">
                  <c:v>55.6</c:v>
                </c:pt>
                <c:pt idx="156">
                  <c:v>45.5</c:v>
                </c:pt>
                <c:pt idx="157">
                  <c:v>52.8</c:v>
                </c:pt>
                <c:pt idx="158">
                  <c:v>43.7</c:v>
                </c:pt>
                <c:pt idx="159">
                  <c:v>43.2</c:v>
                </c:pt>
                <c:pt idx="160">
                  <c:v>70.099999999999994</c:v>
                </c:pt>
                <c:pt idx="161">
                  <c:v>42.6</c:v>
                </c:pt>
                <c:pt idx="162">
                  <c:v>73.2</c:v>
                </c:pt>
                <c:pt idx="163">
                  <c:v>49.6</c:v>
                </c:pt>
                <c:pt idx="164">
                  <c:v>50.3</c:v>
                </c:pt>
                <c:pt idx="165">
                  <c:v>44.2</c:v>
                </c:pt>
                <c:pt idx="166">
                  <c:v>61.2</c:v>
                </c:pt>
                <c:pt idx="167">
                  <c:v>57.9</c:v>
                </c:pt>
                <c:pt idx="168">
                  <c:v>35.5</c:v>
                </c:pt>
                <c:pt idx="169">
                  <c:v>57.4</c:v>
                </c:pt>
                <c:pt idx="170">
                  <c:v>39.299999999999997</c:v>
                </c:pt>
                <c:pt idx="171">
                  <c:v>79.099999999999994</c:v>
                </c:pt>
                <c:pt idx="172">
                  <c:v>36.799999999999997</c:v>
                </c:pt>
                <c:pt idx="173">
                  <c:v>52.8</c:v>
                </c:pt>
                <c:pt idx="174">
                  <c:v>62.4</c:v>
                </c:pt>
                <c:pt idx="175">
                  <c:v>75.599999999999994</c:v>
                </c:pt>
                <c:pt idx="176">
                  <c:v>51.3</c:v>
                </c:pt>
                <c:pt idx="177">
                  <c:v>53.9</c:v>
                </c:pt>
                <c:pt idx="178">
                  <c:v>79</c:v>
                </c:pt>
                <c:pt idx="179">
                  <c:v>59.1</c:v>
                </c:pt>
                <c:pt idx="180">
                  <c:v>43.7</c:v>
                </c:pt>
                <c:pt idx="181">
                  <c:v>28.1</c:v>
                </c:pt>
                <c:pt idx="182">
                  <c:v>66.8</c:v>
                </c:pt>
                <c:pt idx="183">
                  <c:v>48.6</c:v>
                </c:pt>
                <c:pt idx="184">
                  <c:v>36</c:v>
                </c:pt>
                <c:pt idx="185">
                  <c:v>30.9</c:v>
                </c:pt>
                <c:pt idx="186">
                  <c:v>69.599999999999994</c:v>
                </c:pt>
                <c:pt idx="187">
                  <c:v>41.9</c:v>
                </c:pt>
                <c:pt idx="188">
                  <c:v>45.1</c:v>
                </c:pt>
                <c:pt idx="189">
                  <c:v>50.2</c:v>
                </c:pt>
                <c:pt idx="190">
                  <c:v>54</c:v>
                </c:pt>
                <c:pt idx="191">
                  <c:v>48.3</c:v>
                </c:pt>
                <c:pt idx="192">
                  <c:v>62.7</c:v>
                </c:pt>
                <c:pt idx="193">
                  <c:v>46.4</c:v>
                </c:pt>
                <c:pt idx="194">
                  <c:v>44.7</c:v>
                </c:pt>
                <c:pt idx="195">
                  <c:v>31.8</c:v>
                </c:pt>
                <c:pt idx="196">
                  <c:v>66.7</c:v>
                </c:pt>
                <c:pt idx="197">
                  <c:v>57</c:v>
                </c:pt>
                <c:pt idx="198">
                  <c:v>52.5</c:v>
                </c:pt>
                <c:pt idx="199">
                  <c:v>50.1</c:v>
                </c:pt>
                <c:pt idx="200">
                  <c:v>59.9</c:v>
                </c:pt>
                <c:pt idx="201">
                  <c:v>47.6</c:v>
                </c:pt>
                <c:pt idx="202">
                  <c:v>54.6</c:v>
                </c:pt>
                <c:pt idx="203">
                  <c:v>43.4</c:v>
                </c:pt>
                <c:pt idx="204">
                  <c:v>36.9</c:v>
                </c:pt>
                <c:pt idx="205">
                  <c:v>39.1</c:v>
                </c:pt>
                <c:pt idx="206">
                  <c:v>54.3</c:v>
                </c:pt>
                <c:pt idx="207">
                  <c:v>65.400000000000006</c:v>
                </c:pt>
                <c:pt idx="208">
                  <c:v>54.6</c:v>
                </c:pt>
                <c:pt idx="209">
                  <c:v>40.6</c:v>
                </c:pt>
                <c:pt idx="210">
                  <c:v>45.4</c:v>
                </c:pt>
                <c:pt idx="211">
                  <c:v>38.1</c:v>
                </c:pt>
                <c:pt idx="212">
                  <c:v>57.5</c:v>
                </c:pt>
                <c:pt idx="213">
                  <c:v>70.8</c:v>
                </c:pt>
                <c:pt idx="214">
                  <c:v>46.8</c:v>
                </c:pt>
                <c:pt idx="215">
                  <c:v>64.2</c:v>
                </c:pt>
                <c:pt idx="216">
                  <c:v>46.6</c:v>
                </c:pt>
                <c:pt idx="217">
                  <c:v>56.6</c:v>
                </c:pt>
                <c:pt idx="218">
                  <c:v>56.3</c:v>
                </c:pt>
                <c:pt idx="219">
                  <c:v>72.900000000000006</c:v>
                </c:pt>
                <c:pt idx="220">
                  <c:v>56.6</c:v>
                </c:pt>
                <c:pt idx="221">
                  <c:v>49</c:v>
                </c:pt>
                <c:pt idx="222">
                  <c:v>32.700000000000003</c:v>
                </c:pt>
                <c:pt idx="223">
                  <c:v>36.5</c:v>
                </c:pt>
                <c:pt idx="224">
                  <c:v>58.5</c:v>
                </c:pt>
                <c:pt idx="225">
                  <c:v>60.7</c:v>
                </c:pt>
                <c:pt idx="226">
                  <c:v>58.8</c:v>
                </c:pt>
                <c:pt idx="227">
                  <c:v>44.1</c:v>
                </c:pt>
                <c:pt idx="228">
                  <c:v>42.1</c:v>
                </c:pt>
                <c:pt idx="229">
                  <c:v>55.5</c:v>
                </c:pt>
                <c:pt idx="230">
                  <c:v>46.3</c:v>
                </c:pt>
                <c:pt idx="231">
                  <c:v>48.5</c:v>
                </c:pt>
                <c:pt idx="232">
                  <c:v>49.9</c:v>
                </c:pt>
                <c:pt idx="233">
                  <c:v>69.099999999999994</c:v>
                </c:pt>
                <c:pt idx="234">
                  <c:v>60.6</c:v>
                </c:pt>
                <c:pt idx="235">
                  <c:v>82.7</c:v>
                </c:pt>
                <c:pt idx="236">
                  <c:v>47.9</c:v>
                </c:pt>
                <c:pt idx="237">
                  <c:v>38.6</c:v>
                </c:pt>
                <c:pt idx="238">
                  <c:v>76.900000000000006</c:v>
                </c:pt>
                <c:pt idx="239">
                  <c:v>72.5</c:v>
                </c:pt>
                <c:pt idx="240">
                  <c:v>43.8</c:v>
                </c:pt>
                <c:pt idx="241">
                  <c:v>59.5</c:v>
                </c:pt>
                <c:pt idx="242">
                  <c:v>51.4</c:v>
                </c:pt>
                <c:pt idx="243">
                  <c:v>41</c:v>
                </c:pt>
                <c:pt idx="244">
                  <c:v>88.9</c:v>
                </c:pt>
                <c:pt idx="245">
                  <c:v>36.5</c:v>
                </c:pt>
                <c:pt idx="246">
                  <c:v>53.2</c:v>
                </c:pt>
                <c:pt idx="247">
                  <c:v>65.599999999999994</c:v>
                </c:pt>
                <c:pt idx="248">
                  <c:v>65.099999999999994</c:v>
                </c:pt>
                <c:pt idx="249">
                  <c:v>50.5</c:v>
                </c:pt>
                <c:pt idx="250">
                  <c:v>48.8</c:v>
                </c:pt>
                <c:pt idx="251">
                  <c:v>65.7</c:v>
                </c:pt>
                <c:pt idx="252">
                  <c:v>60.9</c:v>
                </c:pt>
                <c:pt idx="253">
                  <c:v>48.1</c:v>
                </c:pt>
                <c:pt idx="254">
                  <c:v>58.3</c:v>
                </c:pt>
                <c:pt idx="255">
                  <c:v>50.4</c:v>
                </c:pt>
                <c:pt idx="256">
                  <c:v>43.6</c:v>
                </c:pt>
                <c:pt idx="257">
                  <c:v>67.3</c:v>
                </c:pt>
                <c:pt idx="258">
                  <c:v>52.2</c:v>
                </c:pt>
                <c:pt idx="259">
                  <c:v>39.799999999999997</c:v>
                </c:pt>
                <c:pt idx="260">
                  <c:v>56.2</c:v>
                </c:pt>
                <c:pt idx="261">
                  <c:v>64.599999999999994</c:v>
                </c:pt>
                <c:pt idx="262">
                  <c:v>49</c:v>
                </c:pt>
                <c:pt idx="263">
                  <c:v>62.2</c:v>
                </c:pt>
                <c:pt idx="264">
                  <c:v>47.1</c:v>
                </c:pt>
                <c:pt idx="265">
                  <c:v>60.4</c:v>
                </c:pt>
                <c:pt idx="266">
                  <c:v>20.6</c:v>
                </c:pt>
                <c:pt idx="267">
                  <c:v>28.4</c:v>
                </c:pt>
                <c:pt idx="268">
                  <c:v>42.2</c:v>
                </c:pt>
                <c:pt idx="269">
                  <c:v>88.1</c:v>
                </c:pt>
                <c:pt idx="270">
                  <c:v>40.4</c:v>
                </c:pt>
                <c:pt idx="271">
                  <c:v>54</c:v>
                </c:pt>
                <c:pt idx="272">
                  <c:v>41.9</c:v>
                </c:pt>
                <c:pt idx="273">
                  <c:v>70.3</c:v>
                </c:pt>
                <c:pt idx="274">
                  <c:v>51.3</c:v>
                </c:pt>
                <c:pt idx="275">
                  <c:v>75.099999999999994</c:v>
                </c:pt>
                <c:pt idx="276">
                  <c:v>65.599999999999994</c:v>
                </c:pt>
                <c:pt idx="277">
                  <c:v>75.7</c:v>
                </c:pt>
                <c:pt idx="278">
                  <c:v>43.6</c:v>
                </c:pt>
                <c:pt idx="279">
                  <c:v>30.5</c:v>
                </c:pt>
                <c:pt idx="280">
                  <c:v>42.2</c:v>
                </c:pt>
                <c:pt idx="281">
                  <c:v>59.6</c:v>
                </c:pt>
                <c:pt idx="282">
                  <c:v>66.2</c:v>
                </c:pt>
                <c:pt idx="283">
                  <c:v>64.599999999999994</c:v>
                </c:pt>
                <c:pt idx="284">
                  <c:v>42.4</c:v>
                </c:pt>
                <c:pt idx="285">
                  <c:v>47</c:v>
                </c:pt>
                <c:pt idx="286">
                  <c:v>75.7</c:v>
                </c:pt>
                <c:pt idx="287">
                  <c:v>49.2</c:v>
                </c:pt>
                <c:pt idx="288">
                  <c:v>46.8</c:v>
                </c:pt>
                <c:pt idx="289">
                  <c:v>49.5</c:v>
                </c:pt>
                <c:pt idx="290">
                  <c:v>40.6</c:v>
                </c:pt>
                <c:pt idx="291">
                  <c:v>66.900000000000006</c:v>
                </c:pt>
                <c:pt idx="292">
                  <c:v>38.6</c:v>
                </c:pt>
                <c:pt idx="293">
                  <c:v>34.4</c:v>
                </c:pt>
                <c:pt idx="294">
                  <c:v>47.8</c:v>
                </c:pt>
                <c:pt idx="295">
                  <c:v>46.3</c:v>
                </c:pt>
                <c:pt idx="296">
                  <c:v>48.1</c:v>
                </c:pt>
                <c:pt idx="297">
                  <c:v>41.9</c:v>
                </c:pt>
                <c:pt idx="298">
                  <c:v>43.4</c:v>
                </c:pt>
                <c:pt idx="299">
                  <c:v>52.2</c:v>
                </c:pt>
                <c:pt idx="300">
                  <c:v>49.8</c:v>
                </c:pt>
                <c:pt idx="301">
                  <c:v>60.2</c:v>
                </c:pt>
                <c:pt idx="302">
                  <c:v>56.6</c:v>
                </c:pt>
                <c:pt idx="303">
                  <c:v>49.7</c:v>
                </c:pt>
                <c:pt idx="304">
                  <c:v>60.8</c:v>
                </c:pt>
                <c:pt idx="305">
                  <c:v>49.6</c:v>
                </c:pt>
                <c:pt idx="306">
                  <c:v>38.1</c:v>
                </c:pt>
                <c:pt idx="307">
                  <c:v>55.3</c:v>
                </c:pt>
                <c:pt idx="308">
                  <c:v>80.2</c:v>
                </c:pt>
                <c:pt idx="309">
                  <c:v>72.7</c:v>
                </c:pt>
                <c:pt idx="310">
                  <c:v>40.6</c:v>
                </c:pt>
                <c:pt idx="311">
                  <c:v>40.799999999999997</c:v>
                </c:pt>
                <c:pt idx="312">
                  <c:v>43.6</c:v>
                </c:pt>
                <c:pt idx="313">
                  <c:v>63.7</c:v>
                </c:pt>
                <c:pt idx="314">
                  <c:v>88.8</c:v>
                </c:pt>
                <c:pt idx="315">
                  <c:v>54.7</c:v>
                </c:pt>
                <c:pt idx="316">
                  <c:v>40.799999999999997</c:v>
                </c:pt>
                <c:pt idx="317">
                  <c:v>49.5</c:v>
                </c:pt>
                <c:pt idx="318">
                  <c:v>52.5</c:v>
                </c:pt>
                <c:pt idx="319">
                  <c:v>84</c:v>
                </c:pt>
                <c:pt idx="320">
                  <c:v>40.5</c:v>
                </c:pt>
                <c:pt idx="321">
                  <c:v>64</c:v>
                </c:pt>
                <c:pt idx="322">
                  <c:v>38.4</c:v>
                </c:pt>
                <c:pt idx="323">
                  <c:v>62.5</c:v>
                </c:pt>
                <c:pt idx="324">
                  <c:v>57.4</c:v>
                </c:pt>
                <c:pt idx="325">
                  <c:v>47.5</c:v>
                </c:pt>
                <c:pt idx="326">
                  <c:v>53.8</c:v>
                </c:pt>
                <c:pt idx="327">
                  <c:v>44.8</c:v>
                </c:pt>
                <c:pt idx="328">
                  <c:v>31.4</c:v>
                </c:pt>
                <c:pt idx="329">
                  <c:v>39.1</c:v>
                </c:pt>
                <c:pt idx="330">
                  <c:v>62.5</c:v>
                </c:pt>
                <c:pt idx="331">
                  <c:v>46.3</c:v>
                </c:pt>
                <c:pt idx="332">
                  <c:v>38.4</c:v>
                </c:pt>
                <c:pt idx="333">
                  <c:v>54.5</c:v>
                </c:pt>
                <c:pt idx="334">
                  <c:v>57.1</c:v>
                </c:pt>
                <c:pt idx="335">
                  <c:v>67.099999999999994</c:v>
                </c:pt>
                <c:pt idx="336">
                  <c:v>67.5</c:v>
                </c:pt>
                <c:pt idx="337">
                  <c:v>58.2</c:v>
                </c:pt>
                <c:pt idx="338">
                  <c:v>58.6</c:v>
                </c:pt>
                <c:pt idx="339">
                  <c:v>61.3</c:v>
                </c:pt>
                <c:pt idx="340">
                  <c:v>58.6</c:v>
                </c:pt>
                <c:pt idx="341">
                  <c:v>43.7</c:v>
                </c:pt>
                <c:pt idx="342">
                  <c:v>23.2</c:v>
                </c:pt>
                <c:pt idx="343">
                  <c:v>34.1</c:v>
                </c:pt>
                <c:pt idx="344">
                  <c:v>39.799999999999997</c:v>
                </c:pt>
                <c:pt idx="345">
                  <c:v>41.1</c:v>
                </c:pt>
                <c:pt idx="346">
                  <c:v>47.3</c:v>
                </c:pt>
                <c:pt idx="347">
                  <c:v>39.700000000000003</c:v>
                </c:pt>
                <c:pt idx="348">
                  <c:v>63</c:v>
                </c:pt>
                <c:pt idx="349">
                  <c:v>84.8</c:v>
                </c:pt>
                <c:pt idx="350">
                  <c:v>46</c:v>
                </c:pt>
                <c:pt idx="351">
                  <c:v>36.9</c:v>
                </c:pt>
                <c:pt idx="352">
                  <c:v>67.8</c:v>
                </c:pt>
                <c:pt idx="353">
                  <c:v>30.2</c:v>
                </c:pt>
                <c:pt idx="354">
                  <c:v>34.799999999999997</c:v>
                </c:pt>
                <c:pt idx="355">
                  <c:v>39.6</c:v>
                </c:pt>
                <c:pt idx="356">
                  <c:v>52.1</c:v>
                </c:pt>
                <c:pt idx="357">
                  <c:v>51.9</c:v>
                </c:pt>
                <c:pt idx="358">
                  <c:v>48.6</c:v>
                </c:pt>
                <c:pt idx="359">
                  <c:v>63.3</c:v>
                </c:pt>
                <c:pt idx="360">
                  <c:v>54.9</c:v>
                </c:pt>
                <c:pt idx="361">
                  <c:v>46.8</c:v>
                </c:pt>
                <c:pt idx="362">
                  <c:v>34.1</c:v>
                </c:pt>
                <c:pt idx="363">
                  <c:v>45</c:v>
                </c:pt>
                <c:pt idx="364">
                  <c:v>72.5</c:v>
                </c:pt>
                <c:pt idx="365">
                  <c:v>44.3</c:v>
                </c:pt>
                <c:pt idx="366">
                  <c:v>56</c:v>
                </c:pt>
                <c:pt idx="367">
                  <c:v>59.1</c:v>
                </c:pt>
                <c:pt idx="368">
                  <c:v>76.5</c:v>
                </c:pt>
                <c:pt idx="369">
                  <c:v>63</c:v>
                </c:pt>
                <c:pt idx="370">
                  <c:v>56.5</c:v>
                </c:pt>
                <c:pt idx="371">
                  <c:v>47.3</c:v>
                </c:pt>
                <c:pt idx="372">
                  <c:v>40.4</c:v>
                </c:pt>
                <c:pt idx="373">
                  <c:v>81</c:v>
                </c:pt>
                <c:pt idx="374">
                  <c:v>33.5</c:v>
                </c:pt>
                <c:pt idx="375">
                  <c:v>50.4</c:v>
                </c:pt>
                <c:pt idx="376">
                  <c:v>43.8</c:v>
                </c:pt>
                <c:pt idx="377">
                  <c:v>49.9</c:v>
                </c:pt>
                <c:pt idx="378">
                  <c:v>32.799999999999997</c:v>
                </c:pt>
                <c:pt idx="379">
                  <c:v>50.4</c:v>
                </c:pt>
                <c:pt idx="380">
                  <c:v>36.5</c:v>
                </c:pt>
                <c:pt idx="381">
                  <c:v>51.2</c:v>
                </c:pt>
                <c:pt idx="382">
                  <c:v>34.4</c:v>
                </c:pt>
                <c:pt idx="383">
                  <c:v>38.799999999999997</c:v>
                </c:pt>
                <c:pt idx="384">
                  <c:v>43.5</c:v>
                </c:pt>
                <c:pt idx="385">
                  <c:v>64.599999999999994</c:v>
                </c:pt>
                <c:pt idx="386">
                  <c:v>47.4</c:v>
                </c:pt>
                <c:pt idx="387">
                  <c:v>57.3</c:v>
                </c:pt>
                <c:pt idx="388">
                  <c:v>63.6</c:v>
                </c:pt>
                <c:pt idx="389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DB-474D-8302-B8F54DEEB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64256"/>
        <c:axId val="1921167616"/>
      </c:scatterChart>
      <c:valAx>
        <c:axId val="192116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Leisure</a:t>
                </a:r>
                <a:r>
                  <a:rPr lang="en-US" baseline="0"/>
                  <a:t> screen time (hours)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67616"/>
        <c:crosses val="autoZero"/>
        <c:crossBetween val="midCat"/>
      </c:valAx>
      <c:valAx>
        <c:axId val="19211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6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work screen hours affects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[1]Table1!$E$1</c:f>
              <c:strCache>
                <c:ptCount val="1"/>
                <c:pt idx="0">
                  <c:v>productivity_0_100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7625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[1]Table1!$C$2:$C$391</c:f>
              <c:numCache>
                <c:formatCode>General</c:formatCode>
                <c:ptCount val="390"/>
                <c:pt idx="0">
                  <c:v>5.44</c:v>
                </c:pt>
                <c:pt idx="1">
                  <c:v>0.37</c:v>
                </c:pt>
                <c:pt idx="2">
                  <c:v>1.0900000000000001</c:v>
                </c:pt>
                <c:pt idx="3">
                  <c:v>0.56000000000000005</c:v>
                </c:pt>
                <c:pt idx="4">
                  <c:v>4.09</c:v>
                </c:pt>
                <c:pt idx="5">
                  <c:v>0.53</c:v>
                </c:pt>
                <c:pt idx="6">
                  <c:v>2.82</c:v>
                </c:pt>
                <c:pt idx="7">
                  <c:v>0.75</c:v>
                </c:pt>
                <c:pt idx="8">
                  <c:v>0.67</c:v>
                </c:pt>
                <c:pt idx="9">
                  <c:v>0.84</c:v>
                </c:pt>
                <c:pt idx="10">
                  <c:v>3.02</c:v>
                </c:pt>
                <c:pt idx="11">
                  <c:v>0.25</c:v>
                </c:pt>
                <c:pt idx="12">
                  <c:v>6.8</c:v>
                </c:pt>
                <c:pt idx="13">
                  <c:v>4.33</c:v>
                </c:pt>
                <c:pt idx="14">
                  <c:v>0.79</c:v>
                </c:pt>
                <c:pt idx="15">
                  <c:v>2.82</c:v>
                </c:pt>
                <c:pt idx="16">
                  <c:v>0.82</c:v>
                </c:pt>
                <c:pt idx="17">
                  <c:v>0.82</c:v>
                </c:pt>
                <c:pt idx="18">
                  <c:v>0.7</c:v>
                </c:pt>
                <c:pt idx="19">
                  <c:v>5.73</c:v>
                </c:pt>
                <c:pt idx="20">
                  <c:v>3.29</c:v>
                </c:pt>
                <c:pt idx="21">
                  <c:v>2.89</c:v>
                </c:pt>
                <c:pt idx="22">
                  <c:v>1.65</c:v>
                </c:pt>
                <c:pt idx="23">
                  <c:v>2.33</c:v>
                </c:pt>
                <c:pt idx="24">
                  <c:v>0.45</c:v>
                </c:pt>
                <c:pt idx="25">
                  <c:v>0.8</c:v>
                </c:pt>
                <c:pt idx="26">
                  <c:v>5.17</c:v>
                </c:pt>
                <c:pt idx="27">
                  <c:v>0.33</c:v>
                </c:pt>
                <c:pt idx="28">
                  <c:v>0.73</c:v>
                </c:pt>
                <c:pt idx="29">
                  <c:v>0.48</c:v>
                </c:pt>
                <c:pt idx="30">
                  <c:v>0.78</c:v>
                </c:pt>
                <c:pt idx="31">
                  <c:v>7.54</c:v>
                </c:pt>
                <c:pt idx="32">
                  <c:v>1.25</c:v>
                </c:pt>
                <c:pt idx="33">
                  <c:v>0.56999999999999995</c:v>
                </c:pt>
                <c:pt idx="34">
                  <c:v>0.65</c:v>
                </c:pt>
                <c:pt idx="35">
                  <c:v>3.01</c:v>
                </c:pt>
                <c:pt idx="36">
                  <c:v>1.89</c:v>
                </c:pt>
                <c:pt idx="37">
                  <c:v>1.25</c:v>
                </c:pt>
                <c:pt idx="38">
                  <c:v>0.39</c:v>
                </c:pt>
                <c:pt idx="39">
                  <c:v>3.92</c:v>
                </c:pt>
                <c:pt idx="40">
                  <c:v>0.36</c:v>
                </c:pt>
                <c:pt idx="41">
                  <c:v>0.65</c:v>
                </c:pt>
                <c:pt idx="42">
                  <c:v>5.52</c:v>
                </c:pt>
                <c:pt idx="43">
                  <c:v>4.6399999999999997</c:v>
                </c:pt>
                <c:pt idx="44">
                  <c:v>0.74</c:v>
                </c:pt>
                <c:pt idx="45">
                  <c:v>1.57</c:v>
                </c:pt>
                <c:pt idx="46">
                  <c:v>1.45</c:v>
                </c:pt>
                <c:pt idx="47">
                  <c:v>7.52</c:v>
                </c:pt>
                <c:pt idx="48">
                  <c:v>3.77</c:v>
                </c:pt>
                <c:pt idx="49">
                  <c:v>0.99</c:v>
                </c:pt>
                <c:pt idx="50">
                  <c:v>0.36</c:v>
                </c:pt>
                <c:pt idx="51">
                  <c:v>5.59</c:v>
                </c:pt>
                <c:pt idx="52">
                  <c:v>1.6</c:v>
                </c:pt>
                <c:pt idx="53">
                  <c:v>0.51</c:v>
                </c:pt>
                <c:pt idx="54">
                  <c:v>2.4</c:v>
                </c:pt>
                <c:pt idx="55">
                  <c:v>0.42</c:v>
                </c:pt>
                <c:pt idx="56">
                  <c:v>0.55000000000000004</c:v>
                </c:pt>
                <c:pt idx="57">
                  <c:v>2.5</c:v>
                </c:pt>
                <c:pt idx="58">
                  <c:v>1.1000000000000001</c:v>
                </c:pt>
                <c:pt idx="59">
                  <c:v>1.91</c:v>
                </c:pt>
                <c:pt idx="60">
                  <c:v>0.68</c:v>
                </c:pt>
                <c:pt idx="61">
                  <c:v>2.67</c:v>
                </c:pt>
                <c:pt idx="62">
                  <c:v>1.46</c:v>
                </c:pt>
                <c:pt idx="63">
                  <c:v>1.65</c:v>
                </c:pt>
                <c:pt idx="64">
                  <c:v>3.9</c:v>
                </c:pt>
                <c:pt idx="65">
                  <c:v>2.5</c:v>
                </c:pt>
                <c:pt idx="66">
                  <c:v>1.59</c:v>
                </c:pt>
                <c:pt idx="67">
                  <c:v>0.94</c:v>
                </c:pt>
                <c:pt idx="68">
                  <c:v>1.07</c:v>
                </c:pt>
                <c:pt idx="69">
                  <c:v>0.45</c:v>
                </c:pt>
                <c:pt idx="70">
                  <c:v>0.39</c:v>
                </c:pt>
                <c:pt idx="71">
                  <c:v>6.68</c:v>
                </c:pt>
                <c:pt idx="72">
                  <c:v>0.44</c:v>
                </c:pt>
                <c:pt idx="73">
                  <c:v>1.6</c:v>
                </c:pt>
                <c:pt idx="74">
                  <c:v>4.07</c:v>
                </c:pt>
                <c:pt idx="75">
                  <c:v>4.57</c:v>
                </c:pt>
                <c:pt idx="76">
                  <c:v>1.82</c:v>
                </c:pt>
                <c:pt idx="77">
                  <c:v>1.02</c:v>
                </c:pt>
                <c:pt idx="78">
                  <c:v>0.88</c:v>
                </c:pt>
                <c:pt idx="79">
                  <c:v>0.38</c:v>
                </c:pt>
                <c:pt idx="80">
                  <c:v>1.99</c:v>
                </c:pt>
                <c:pt idx="81">
                  <c:v>0.45</c:v>
                </c:pt>
                <c:pt idx="82">
                  <c:v>6.39</c:v>
                </c:pt>
                <c:pt idx="83">
                  <c:v>1.1000000000000001</c:v>
                </c:pt>
                <c:pt idx="84">
                  <c:v>3.5</c:v>
                </c:pt>
                <c:pt idx="85">
                  <c:v>1.72</c:v>
                </c:pt>
                <c:pt idx="86">
                  <c:v>2.73</c:v>
                </c:pt>
                <c:pt idx="87">
                  <c:v>2.5299999999999998</c:v>
                </c:pt>
                <c:pt idx="88">
                  <c:v>1</c:v>
                </c:pt>
                <c:pt idx="89">
                  <c:v>0.92</c:v>
                </c:pt>
                <c:pt idx="90">
                  <c:v>2.42</c:v>
                </c:pt>
                <c:pt idx="91">
                  <c:v>2.46</c:v>
                </c:pt>
                <c:pt idx="92">
                  <c:v>0.96</c:v>
                </c:pt>
                <c:pt idx="93">
                  <c:v>0.62</c:v>
                </c:pt>
                <c:pt idx="94">
                  <c:v>1.01</c:v>
                </c:pt>
                <c:pt idx="95">
                  <c:v>2.93</c:v>
                </c:pt>
                <c:pt idx="96">
                  <c:v>3.64</c:v>
                </c:pt>
                <c:pt idx="97">
                  <c:v>0.67</c:v>
                </c:pt>
                <c:pt idx="98">
                  <c:v>0.38</c:v>
                </c:pt>
                <c:pt idx="99">
                  <c:v>5.22</c:v>
                </c:pt>
                <c:pt idx="100">
                  <c:v>0.43</c:v>
                </c:pt>
                <c:pt idx="101">
                  <c:v>0.61</c:v>
                </c:pt>
                <c:pt idx="102">
                  <c:v>0.48</c:v>
                </c:pt>
                <c:pt idx="103">
                  <c:v>6.79</c:v>
                </c:pt>
                <c:pt idx="104">
                  <c:v>0.62</c:v>
                </c:pt>
                <c:pt idx="105">
                  <c:v>4.95</c:v>
                </c:pt>
                <c:pt idx="106">
                  <c:v>0.57999999999999996</c:v>
                </c:pt>
                <c:pt idx="107">
                  <c:v>5.84</c:v>
                </c:pt>
                <c:pt idx="108">
                  <c:v>2.66</c:v>
                </c:pt>
                <c:pt idx="109">
                  <c:v>0.35</c:v>
                </c:pt>
                <c:pt idx="110">
                  <c:v>0.85</c:v>
                </c:pt>
                <c:pt idx="111">
                  <c:v>5.16</c:v>
                </c:pt>
                <c:pt idx="112">
                  <c:v>0.5</c:v>
                </c:pt>
                <c:pt idx="113">
                  <c:v>0.6</c:v>
                </c:pt>
                <c:pt idx="114">
                  <c:v>4.17</c:v>
                </c:pt>
                <c:pt idx="115">
                  <c:v>2.25</c:v>
                </c:pt>
                <c:pt idx="116">
                  <c:v>1.4</c:v>
                </c:pt>
                <c:pt idx="117">
                  <c:v>4.82</c:v>
                </c:pt>
                <c:pt idx="118">
                  <c:v>2.11</c:v>
                </c:pt>
                <c:pt idx="119">
                  <c:v>0.32</c:v>
                </c:pt>
                <c:pt idx="120">
                  <c:v>2.08</c:v>
                </c:pt>
                <c:pt idx="121">
                  <c:v>1.17</c:v>
                </c:pt>
                <c:pt idx="122">
                  <c:v>1.44</c:v>
                </c:pt>
                <c:pt idx="123">
                  <c:v>0.3</c:v>
                </c:pt>
                <c:pt idx="124">
                  <c:v>0.73</c:v>
                </c:pt>
                <c:pt idx="125">
                  <c:v>1.99</c:v>
                </c:pt>
                <c:pt idx="126">
                  <c:v>5.35</c:v>
                </c:pt>
                <c:pt idx="127">
                  <c:v>0.75</c:v>
                </c:pt>
                <c:pt idx="128">
                  <c:v>1.1599999999999999</c:v>
                </c:pt>
                <c:pt idx="129">
                  <c:v>0.96</c:v>
                </c:pt>
                <c:pt idx="130">
                  <c:v>4.62</c:v>
                </c:pt>
                <c:pt idx="131">
                  <c:v>2.56</c:v>
                </c:pt>
                <c:pt idx="132">
                  <c:v>3.86</c:v>
                </c:pt>
                <c:pt idx="133">
                  <c:v>0.31</c:v>
                </c:pt>
                <c:pt idx="134">
                  <c:v>3.25</c:v>
                </c:pt>
                <c:pt idx="135">
                  <c:v>1.44</c:v>
                </c:pt>
                <c:pt idx="136">
                  <c:v>1.21</c:v>
                </c:pt>
                <c:pt idx="137">
                  <c:v>1.22</c:v>
                </c:pt>
                <c:pt idx="138">
                  <c:v>1.91</c:v>
                </c:pt>
                <c:pt idx="139">
                  <c:v>1.58</c:v>
                </c:pt>
                <c:pt idx="140">
                  <c:v>0.78</c:v>
                </c:pt>
                <c:pt idx="141">
                  <c:v>0.34</c:v>
                </c:pt>
                <c:pt idx="142">
                  <c:v>1.86</c:v>
                </c:pt>
                <c:pt idx="143">
                  <c:v>1.91</c:v>
                </c:pt>
                <c:pt idx="144">
                  <c:v>4.17</c:v>
                </c:pt>
                <c:pt idx="145">
                  <c:v>1.47</c:v>
                </c:pt>
                <c:pt idx="146">
                  <c:v>0.93</c:v>
                </c:pt>
                <c:pt idx="147">
                  <c:v>0.37</c:v>
                </c:pt>
                <c:pt idx="148">
                  <c:v>1.93</c:v>
                </c:pt>
                <c:pt idx="149">
                  <c:v>0.7</c:v>
                </c:pt>
                <c:pt idx="150">
                  <c:v>1.48</c:v>
                </c:pt>
                <c:pt idx="151">
                  <c:v>1.04</c:v>
                </c:pt>
                <c:pt idx="152">
                  <c:v>0.48</c:v>
                </c:pt>
                <c:pt idx="153">
                  <c:v>3.06</c:v>
                </c:pt>
                <c:pt idx="154">
                  <c:v>4.08</c:v>
                </c:pt>
                <c:pt idx="155">
                  <c:v>0.51</c:v>
                </c:pt>
                <c:pt idx="156">
                  <c:v>1.1599999999999999</c:v>
                </c:pt>
                <c:pt idx="157">
                  <c:v>0.49</c:v>
                </c:pt>
                <c:pt idx="158">
                  <c:v>6.76</c:v>
                </c:pt>
                <c:pt idx="159">
                  <c:v>6.27</c:v>
                </c:pt>
                <c:pt idx="160">
                  <c:v>3.89</c:v>
                </c:pt>
                <c:pt idx="161">
                  <c:v>1.07</c:v>
                </c:pt>
                <c:pt idx="162">
                  <c:v>1.06</c:v>
                </c:pt>
                <c:pt idx="163">
                  <c:v>2.99</c:v>
                </c:pt>
                <c:pt idx="164">
                  <c:v>1.0900000000000001</c:v>
                </c:pt>
                <c:pt idx="165">
                  <c:v>1.18</c:v>
                </c:pt>
                <c:pt idx="166">
                  <c:v>0.33</c:v>
                </c:pt>
                <c:pt idx="167">
                  <c:v>4.76</c:v>
                </c:pt>
                <c:pt idx="168">
                  <c:v>1.34</c:v>
                </c:pt>
                <c:pt idx="169">
                  <c:v>0.4</c:v>
                </c:pt>
                <c:pt idx="170">
                  <c:v>3.89</c:v>
                </c:pt>
                <c:pt idx="171">
                  <c:v>0.21</c:v>
                </c:pt>
                <c:pt idx="172">
                  <c:v>5.65</c:v>
                </c:pt>
                <c:pt idx="173">
                  <c:v>1.57</c:v>
                </c:pt>
                <c:pt idx="174">
                  <c:v>2.48</c:v>
                </c:pt>
                <c:pt idx="175">
                  <c:v>0.56999999999999995</c:v>
                </c:pt>
                <c:pt idx="176">
                  <c:v>1.74</c:v>
                </c:pt>
                <c:pt idx="177">
                  <c:v>0.94</c:v>
                </c:pt>
                <c:pt idx="178">
                  <c:v>0.5</c:v>
                </c:pt>
                <c:pt idx="179">
                  <c:v>0.35</c:v>
                </c:pt>
                <c:pt idx="180">
                  <c:v>2.5099999999999998</c:v>
                </c:pt>
                <c:pt idx="181">
                  <c:v>2.88</c:v>
                </c:pt>
                <c:pt idx="182">
                  <c:v>6.43</c:v>
                </c:pt>
                <c:pt idx="183">
                  <c:v>6.71</c:v>
                </c:pt>
                <c:pt idx="184">
                  <c:v>2.0299999999999998</c:v>
                </c:pt>
                <c:pt idx="185">
                  <c:v>0.84</c:v>
                </c:pt>
                <c:pt idx="186">
                  <c:v>0.71</c:v>
                </c:pt>
                <c:pt idx="187">
                  <c:v>2.2400000000000002</c:v>
                </c:pt>
                <c:pt idx="188">
                  <c:v>0.54</c:v>
                </c:pt>
                <c:pt idx="189">
                  <c:v>4.01</c:v>
                </c:pt>
                <c:pt idx="190">
                  <c:v>0.57999999999999996</c:v>
                </c:pt>
                <c:pt idx="191">
                  <c:v>2.64</c:v>
                </c:pt>
                <c:pt idx="192">
                  <c:v>3.75</c:v>
                </c:pt>
                <c:pt idx="193">
                  <c:v>0.57999999999999996</c:v>
                </c:pt>
                <c:pt idx="194">
                  <c:v>1.62</c:v>
                </c:pt>
                <c:pt idx="195">
                  <c:v>7.06</c:v>
                </c:pt>
                <c:pt idx="196">
                  <c:v>0.59</c:v>
                </c:pt>
                <c:pt idx="197">
                  <c:v>1.1499999999999999</c:v>
                </c:pt>
                <c:pt idx="198">
                  <c:v>0.87</c:v>
                </c:pt>
                <c:pt idx="199">
                  <c:v>0.88</c:v>
                </c:pt>
                <c:pt idx="200">
                  <c:v>0.65</c:v>
                </c:pt>
                <c:pt idx="201">
                  <c:v>0.72</c:v>
                </c:pt>
                <c:pt idx="202">
                  <c:v>7.48</c:v>
                </c:pt>
                <c:pt idx="203">
                  <c:v>1.56</c:v>
                </c:pt>
                <c:pt idx="204">
                  <c:v>2.93</c:v>
                </c:pt>
                <c:pt idx="205">
                  <c:v>6.74</c:v>
                </c:pt>
                <c:pt idx="206">
                  <c:v>0.56000000000000005</c:v>
                </c:pt>
                <c:pt idx="207">
                  <c:v>3.59</c:v>
                </c:pt>
                <c:pt idx="208">
                  <c:v>1.08</c:v>
                </c:pt>
                <c:pt idx="209">
                  <c:v>0.47</c:v>
                </c:pt>
                <c:pt idx="210">
                  <c:v>4.7</c:v>
                </c:pt>
                <c:pt idx="211">
                  <c:v>0.68</c:v>
                </c:pt>
                <c:pt idx="212">
                  <c:v>0.98</c:v>
                </c:pt>
                <c:pt idx="213">
                  <c:v>0.48</c:v>
                </c:pt>
                <c:pt idx="214">
                  <c:v>1.22</c:v>
                </c:pt>
                <c:pt idx="215">
                  <c:v>1.97</c:v>
                </c:pt>
                <c:pt idx="216">
                  <c:v>2.23</c:v>
                </c:pt>
                <c:pt idx="217">
                  <c:v>0.92</c:v>
                </c:pt>
                <c:pt idx="218">
                  <c:v>0.8</c:v>
                </c:pt>
                <c:pt idx="219">
                  <c:v>1.06</c:v>
                </c:pt>
                <c:pt idx="220">
                  <c:v>1.85</c:v>
                </c:pt>
                <c:pt idx="221">
                  <c:v>2.33</c:v>
                </c:pt>
                <c:pt idx="222">
                  <c:v>6.4</c:v>
                </c:pt>
                <c:pt idx="223">
                  <c:v>1.25</c:v>
                </c:pt>
                <c:pt idx="224">
                  <c:v>0.73</c:v>
                </c:pt>
                <c:pt idx="225">
                  <c:v>0.31</c:v>
                </c:pt>
                <c:pt idx="226">
                  <c:v>0.96</c:v>
                </c:pt>
                <c:pt idx="227">
                  <c:v>3.11</c:v>
                </c:pt>
                <c:pt idx="228">
                  <c:v>5.4</c:v>
                </c:pt>
                <c:pt idx="229">
                  <c:v>1.47</c:v>
                </c:pt>
                <c:pt idx="230">
                  <c:v>0.96</c:v>
                </c:pt>
                <c:pt idx="231">
                  <c:v>0.48</c:v>
                </c:pt>
                <c:pt idx="232">
                  <c:v>0.45</c:v>
                </c:pt>
                <c:pt idx="233">
                  <c:v>1.19</c:v>
                </c:pt>
                <c:pt idx="234">
                  <c:v>2.5</c:v>
                </c:pt>
                <c:pt idx="235">
                  <c:v>0.72</c:v>
                </c:pt>
                <c:pt idx="236">
                  <c:v>0.56999999999999995</c:v>
                </c:pt>
                <c:pt idx="237">
                  <c:v>0.51</c:v>
                </c:pt>
                <c:pt idx="238">
                  <c:v>6.69</c:v>
                </c:pt>
                <c:pt idx="239">
                  <c:v>1.83</c:v>
                </c:pt>
                <c:pt idx="240">
                  <c:v>2.5499999999999998</c:v>
                </c:pt>
                <c:pt idx="241">
                  <c:v>5.75</c:v>
                </c:pt>
                <c:pt idx="242">
                  <c:v>5.84</c:v>
                </c:pt>
                <c:pt idx="243">
                  <c:v>4.91</c:v>
                </c:pt>
                <c:pt idx="244">
                  <c:v>0.41</c:v>
                </c:pt>
                <c:pt idx="245">
                  <c:v>0.79</c:v>
                </c:pt>
                <c:pt idx="246">
                  <c:v>0.65</c:v>
                </c:pt>
                <c:pt idx="247">
                  <c:v>4.43</c:v>
                </c:pt>
                <c:pt idx="248">
                  <c:v>0.46</c:v>
                </c:pt>
                <c:pt idx="249">
                  <c:v>1.1599999999999999</c:v>
                </c:pt>
                <c:pt idx="250">
                  <c:v>1</c:v>
                </c:pt>
                <c:pt idx="251">
                  <c:v>2.93</c:v>
                </c:pt>
                <c:pt idx="252">
                  <c:v>1.79</c:v>
                </c:pt>
                <c:pt idx="253">
                  <c:v>2.4</c:v>
                </c:pt>
                <c:pt idx="254">
                  <c:v>0.55000000000000004</c:v>
                </c:pt>
                <c:pt idx="255">
                  <c:v>0.68</c:v>
                </c:pt>
                <c:pt idx="256">
                  <c:v>1.42</c:v>
                </c:pt>
                <c:pt idx="257">
                  <c:v>0.88</c:v>
                </c:pt>
                <c:pt idx="258">
                  <c:v>6.1</c:v>
                </c:pt>
                <c:pt idx="259">
                  <c:v>2.5499999999999998</c:v>
                </c:pt>
                <c:pt idx="260">
                  <c:v>0.57999999999999996</c:v>
                </c:pt>
                <c:pt idx="261">
                  <c:v>0.37</c:v>
                </c:pt>
                <c:pt idx="262">
                  <c:v>2.73</c:v>
                </c:pt>
                <c:pt idx="263">
                  <c:v>3.68</c:v>
                </c:pt>
                <c:pt idx="264">
                  <c:v>5.13</c:v>
                </c:pt>
                <c:pt idx="265">
                  <c:v>0.53</c:v>
                </c:pt>
                <c:pt idx="266">
                  <c:v>5.27</c:v>
                </c:pt>
                <c:pt idx="267">
                  <c:v>12.04</c:v>
                </c:pt>
                <c:pt idx="268">
                  <c:v>1.1100000000000001</c:v>
                </c:pt>
                <c:pt idx="269">
                  <c:v>1.04</c:v>
                </c:pt>
                <c:pt idx="270">
                  <c:v>6.2</c:v>
                </c:pt>
                <c:pt idx="271">
                  <c:v>0.67</c:v>
                </c:pt>
                <c:pt idx="272">
                  <c:v>3.61</c:v>
                </c:pt>
                <c:pt idx="273">
                  <c:v>1.26</c:v>
                </c:pt>
                <c:pt idx="274">
                  <c:v>7.1</c:v>
                </c:pt>
                <c:pt idx="275">
                  <c:v>1.48</c:v>
                </c:pt>
                <c:pt idx="276">
                  <c:v>0.28999999999999998</c:v>
                </c:pt>
                <c:pt idx="277">
                  <c:v>0.42</c:v>
                </c:pt>
                <c:pt idx="278">
                  <c:v>3.6</c:v>
                </c:pt>
                <c:pt idx="279">
                  <c:v>2.63</c:v>
                </c:pt>
                <c:pt idx="280">
                  <c:v>0.51</c:v>
                </c:pt>
                <c:pt idx="281">
                  <c:v>2.83</c:v>
                </c:pt>
                <c:pt idx="282">
                  <c:v>2.5099999999999998</c:v>
                </c:pt>
                <c:pt idx="283">
                  <c:v>0.89</c:v>
                </c:pt>
                <c:pt idx="284">
                  <c:v>0.44</c:v>
                </c:pt>
                <c:pt idx="285">
                  <c:v>1.17</c:v>
                </c:pt>
                <c:pt idx="286">
                  <c:v>0.31</c:v>
                </c:pt>
                <c:pt idx="287">
                  <c:v>4.83</c:v>
                </c:pt>
                <c:pt idx="288">
                  <c:v>0.54</c:v>
                </c:pt>
                <c:pt idx="289">
                  <c:v>1.53</c:v>
                </c:pt>
                <c:pt idx="290">
                  <c:v>2.61</c:v>
                </c:pt>
                <c:pt idx="291">
                  <c:v>0.54</c:v>
                </c:pt>
                <c:pt idx="292">
                  <c:v>3.15</c:v>
                </c:pt>
                <c:pt idx="293">
                  <c:v>0.81</c:v>
                </c:pt>
                <c:pt idx="294">
                  <c:v>2.65</c:v>
                </c:pt>
                <c:pt idx="295">
                  <c:v>0.52</c:v>
                </c:pt>
                <c:pt idx="296">
                  <c:v>0.98</c:v>
                </c:pt>
                <c:pt idx="297">
                  <c:v>1.68</c:v>
                </c:pt>
                <c:pt idx="298">
                  <c:v>1.71</c:v>
                </c:pt>
                <c:pt idx="299">
                  <c:v>1.87</c:v>
                </c:pt>
                <c:pt idx="300">
                  <c:v>1.38</c:v>
                </c:pt>
                <c:pt idx="301">
                  <c:v>2.96</c:v>
                </c:pt>
                <c:pt idx="302">
                  <c:v>3.57</c:v>
                </c:pt>
                <c:pt idx="303">
                  <c:v>3.17</c:v>
                </c:pt>
                <c:pt idx="304">
                  <c:v>0.73</c:v>
                </c:pt>
                <c:pt idx="305">
                  <c:v>1.33</c:v>
                </c:pt>
                <c:pt idx="306">
                  <c:v>1.55</c:v>
                </c:pt>
                <c:pt idx="307">
                  <c:v>1.59</c:v>
                </c:pt>
                <c:pt idx="308">
                  <c:v>1.87</c:v>
                </c:pt>
                <c:pt idx="309">
                  <c:v>0.39</c:v>
                </c:pt>
                <c:pt idx="310">
                  <c:v>3.83</c:v>
                </c:pt>
                <c:pt idx="311">
                  <c:v>0.5</c:v>
                </c:pt>
                <c:pt idx="312">
                  <c:v>4.99</c:v>
                </c:pt>
                <c:pt idx="313">
                  <c:v>0.45</c:v>
                </c:pt>
                <c:pt idx="314">
                  <c:v>0.28999999999999998</c:v>
                </c:pt>
                <c:pt idx="315">
                  <c:v>0.46</c:v>
                </c:pt>
                <c:pt idx="316">
                  <c:v>4.76</c:v>
                </c:pt>
                <c:pt idx="317">
                  <c:v>1.49</c:v>
                </c:pt>
                <c:pt idx="318">
                  <c:v>5.53</c:v>
                </c:pt>
                <c:pt idx="319">
                  <c:v>3.45</c:v>
                </c:pt>
                <c:pt idx="320">
                  <c:v>2.0499999999999998</c:v>
                </c:pt>
                <c:pt idx="321">
                  <c:v>2.1800000000000002</c:v>
                </c:pt>
                <c:pt idx="322">
                  <c:v>6.31</c:v>
                </c:pt>
                <c:pt idx="323">
                  <c:v>1.33</c:v>
                </c:pt>
                <c:pt idx="324">
                  <c:v>3.99</c:v>
                </c:pt>
                <c:pt idx="325">
                  <c:v>2.4</c:v>
                </c:pt>
                <c:pt idx="326">
                  <c:v>0.41</c:v>
                </c:pt>
                <c:pt idx="327">
                  <c:v>0.67</c:v>
                </c:pt>
                <c:pt idx="328">
                  <c:v>2.29</c:v>
                </c:pt>
                <c:pt idx="329">
                  <c:v>0.95</c:v>
                </c:pt>
                <c:pt idx="330">
                  <c:v>2.5</c:v>
                </c:pt>
                <c:pt idx="331">
                  <c:v>0.94</c:v>
                </c:pt>
                <c:pt idx="332">
                  <c:v>2.87</c:v>
                </c:pt>
                <c:pt idx="333">
                  <c:v>0.47</c:v>
                </c:pt>
                <c:pt idx="334">
                  <c:v>2.68</c:v>
                </c:pt>
                <c:pt idx="335">
                  <c:v>1.1100000000000001</c:v>
                </c:pt>
                <c:pt idx="336">
                  <c:v>0.78</c:v>
                </c:pt>
                <c:pt idx="337">
                  <c:v>2.58</c:v>
                </c:pt>
                <c:pt idx="338">
                  <c:v>0.44</c:v>
                </c:pt>
                <c:pt idx="339">
                  <c:v>1.37</c:v>
                </c:pt>
                <c:pt idx="340">
                  <c:v>0.53</c:v>
                </c:pt>
                <c:pt idx="341">
                  <c:v>5.48</c:v>
                </c:pt>
                <c:pt idx="342">
                  <c:v>5.85</c:v>
                </c:pt>
                <c:pt idx="343">
                  <c:v>7.36</c:v>
                </c:pt>
                <c:pt idx="344">
                  <c:v>1.54</c:v>
                </c:pt>
                <c:pt idx="345">
                  <c:v>2.41</c:v>
                </c:pt>
                <c:pt idx="346">
                  <c:v>0.35</c:v>
                </c:pt>
                <c:pt idx="347">
                  <c:v>2.21</c:v>
                </c:pt>
                <c:pt idx="348">
                  <c:v>0.77</c:v>
                </c:pt>
                <c:pt idx="349">
                  <c:v>1.57</c:v>
                </c:pt>
                <c:pt idx="350">
                  <c:v>1.43</c:v>
                </c:pt>
                <c:pt idx="351">
                  <c:v>0.51</c:v>
                </c:pt>
                <c:pt idx="352">
                  <c:v>0.94</c:v>
                </c:pt>
                <c:pt idx="353">
                  <c:v>0.75</c:v>
                </c:pt>
                <c:pt idx="354">
                  <c:v>0.52</c:v>
                </c:pt>
                <c:pt idx="355">
                  <c:v>2.36</c:v>
                </c:pt>
                <c:pt idx="356">
                  <c:v>5.71</c:v>
                </c:pt>
                <c:pt idx="357">
                  <c:v>1.52</c:v>
                </c:pt>
                <c:pt idx="358">
                  <c:v>6.11</c:v>
                </c:pt>
                <c:pt idx="359">
                  <c:v>2.81</c:v>
                </c:pt>
                <c:pt idx="360">
                  <c:v>3.83</c:v>
                </c:pt>
                <c:pt idx="361">
                  <c:v>4.84</c:v>
                </c:pt>
                <c:pt idx="362">
                  <c:v>4.8099999999999996</c:v>
                </c:pt>
                <c:pt idx="363">
                  <c:v>0.81</c:v>
                </c:pt>
                <c:pt idx="364">
                  <c:v>0.5</c:v>
                </c:pt>
                <c:pt idx="365">
                  <c:v>0.96</c:v>
                </c:pt>
                <c:pt idx="366">
                  <c:v>2.64</c:v>
                </c:pt>
                <c:pt idx="367">
                  <c:v>5.33</c:v>
                </c:pt>
                <c:pt idx="368">
                  <c:v>0.79</c:v>
                </c:pt>
                <c:pt idx="369">
                  <c:v>0.67</c:v>
                </c:pt>
                <c:pt idx="370">
                  <c:v>4.12</c:v>
                </c:pt>
                <c:pt idx="371">
                  <c:v>3.21</c:v>
                </c:pt>
                <c:pt idx="372">
                  <c:v>4.54</c:v>
                </c:pt>
                <c:pt idx="373">
                  <c:v>1.01</c:v>
                </c:pt>
                <c:pt idx="374">
                  <c:v>6.7</c:v>
                </c:pt>
                <c:pt idx="375">
                  <c:v>3.97</c:v>
                </c:pt>
                <c:pt idx="376">
                  <c:v>0.4</c:v>
                </c:pt>
                <c:pt idx="377">
                  <c:v>1.94</c:v>
                </c:pt>
                <c:pt idx="378">
                  <c:v>3.55</c:v>
                </c:pt>
                <c:pt idx="379">
                  <c:v>1.05</c:v>
                </c:pt>
                <c:pt idx="380">
                  <c:v>6.19</c:v>
                </c:pt>
                <c:pt idx="381">
                  <c:v>1.21</c:v>
                </c:pt>
                <c:pt idx="382">
                  <c:v>0.84</c:v>
                </c:pt>
                <c:pt idx="383">
                  <c:v>4.21</c:v>
                </c:pt>
                <c:pt idx="384">
                  <c:v>6.2</c:v>
                </c:pt>
                <c:pt idx="385">
                  <c:v>2.99</c:v>
                </c:pt>
                <c:pt idx="386">
                  <c:v>5.44</c:v>
                </c:pt>
                <c:pt idx="387">
                  <c:v>2.36</c:v>
                </c:pt>
                <c:pt idx="388">
                  <c:v>0.94</c:v>
                </c:pt>
                <c:pt idx="389">
                  <c:v>3.82</c:v>
                </c:pt>
              </c:numCache>
            </c:numRef>
          </c:xVal>
          <c:yVal>
            <c:numRef>
              <c:f>[1]Table1!$E$2:$E$391</c:f>
              <c:numCache>
                <c:formatCode>General</c:formatCode>
                <c:ptCount val="390"/>
                <c:pt idx="0">
                  <c:v>44.7</c:v>
                </c:pt>
                <c:pt idx="1">
                  <c:v>78</c:v>
                </c:pt>
                <c:pt idx="2">
                  <c:v>51.8</c:v>
                </c:pt>
                <c:pt idx="3">
                  <c:v>37</c:v>
                </c:pt>
                <c:pt idx="4">
                  <c:v>38.5</c:v>
                </c:pt>
                <c:pt idx="5">
                  <c:v>44</c:v>
                </c:pt>
                <c:pt idx="6">
                  <c:v>64.8</c:v>
                </c:pt>
                <c:pt idx="7">
                  <c:v>87</c:v>
                </c:pt>
                <c:pt idx="8">
                  <c:v>91.7</c:v>
                </c:pt>
                <c:pt idx="9">
                  <c:v>42.2</c:v>
                </c:pt>
                <c:pt idx="10">
                  <c:v>55.9</c:v>
                </c:pt>
                <c:pt idx="11">
                  <c:v>88.4</c:v>
                </c:pt>
                <c:pt idx="12">
                  <c:v>33</c:v>
                </c:pt>
                <c:pt idx="13">
                  <c:v>70.7</c:v>
                </c:pt>
                <c:pt idx="14">
                  <c:v>53.2</c:v>
                </c:pt>
                <c:pt idx="15">
                  <c:v>37.6</c:v>
                </c:pt>
                <c:pt idx="16">
                  <c:v>60.3</c:v>
                </c:pt>
                <c:pt idx="17">
                  <c:v>49</c:v>
                </c:pt>
                <c:pt idx="18">
                  <c:v>85.1</c:v>
                </c:pt>
                <c:pt idx="19">
                  <c:v>52</c:v>
                </c:pt>
                <c:pt idx="20">
                  <c:v>48.1</c:v>
                </c:pt>
                <c:pt idx="21">
                  <c:v>53.1</c:v>
                </c:pt>
                <c:pt idx="22">
                  <c:v>76.400000000000006</c:v>
                </c:pt>
                <c:pt idx="23">
                  <c:v>77.3</c:v>
                </c:pt>
                <c:pt idx="24">
                  <c:v>50.3</c:v>
                </c:pt>
                <c:pt idx="25">
                  <c:v>51</c:v>
                </c:pt>
                <c:pt idx="26">
                  <c:v>53.3</c:v>
                </c:pt>
                <c:pt idx="27">
                  <c:v>60</c:v>
                </c:pt>
                <c:pt idx="28">
                  <c:v>61.1</c:v>
                </c:pt>
                <c:pt idx="29">
                  <c:v>38</c:v>
                </c:pt>
                <c:pt idx="30">
                  <c:v>52.1</c:v>
                </c:pt>
                <c:pt idx="31">
                  <c:v>42.6</c:v>
                </c:pt>
                <c:pt idx="32">
                  <c:v>60.3</c:v>
                </c:pt>
                <c:pt idx="33">
                  <c:v>57</c:v>
                </c:pt>
                <c:pt idx="34">
                  <c:v>39.6</c:v>
                </c:pt>
                <c:pt idx="35">
                  <c:v>53.6</c:v>
                </c:pt>
                <c:pt idx="36">
                  <c:v>45.7</c:v>
                </c:pt>
                <c:pt idx="37">
                  <c:v>68.099999999999994</c:v>
                </c:pt>
                <c:pt idx="38">
                  <c:v>49.8</c:v>
                </c:pt>
                <c:pt idx="39">
                  <c:v>51.6</c:v>
                </c:pt>
                <c:pt idx="40">
                  <c:v>67.400000000000006</c:v>
                </c:pt>
                <c:pt idx="41">
                  <c:v>51.7</c:v>
                </c:pt>
                <c:pt idx="42">
                  <c:v>77.7</c:v>
                </c:pt>
                <c:pt idx="43">
                  <c:v>37.6</c:v>
                </c:pt>
                <c:pt idx="44">
                  <c:v>58.8</c:v>
                </c:pt>
                <c:pt idx="45">
                  <c:v>79.599999999999994</c:v>
                </c:pt>
                <c:pt idx="46">
                  <c:v>49.2</c:v>
                </c:pt>
                <c:pt idx="47">
                  <c:v>34.799999999999997</c:v>
                </c:pt>
                <c:pt idx="48">
                  <c:v>52.8</c:v>
                </c:pt>
                <c:pt idx="49">
                  <c:v>27.1</c:v>
                </c:pt>
                <c:pt idx="50">
                  <c:v>56.8</c:v>
                </c:pt>
                <c:pt idx="51">
                  <c:v>38.5</c:v>
                </c:pt>
                <c:pt idx="52">
                  <c:v>44.9</c:v>
                </c:pt>
                <c:pt idx="53">
                  <c:v>44.8</c:v>
                </c:pt>
                <c:pt idx="54">
                  <c:v>60</c:v>
                </c:pt>
                <c:pt idx="55">
                  <c:v>51.7</c:v>
                </c:pt>
                <c:pt idx="56">
                  <c:v>74</c:v>
                </c:pt>
                <c:pt idx="57">
                  <c:v>81</c:v>
                </c:pt>
                <c:pt idx="58">
                  <c:v>67.8</c:v>
                </c:pt>
                <c:pt idx="59">
                  <c:v>40.299999999999997</c:v>
                </c:pt>
                <c:pt idx="60">
                  <c:v>46.3</c:v>
                </c:pt>
                <c:pt idx="61">
                  <c:v>45.8</c:v>
                </c:pt>
                <c:pt idx="62">
                  <c:v>42.2</c:v>
                </c:pt>
                <c:pt idx="63">
                  <c:v>51.1</c:v>
                </c:pt>
                <c:pt idx="64">
                  <c:v>48.3</c:v>
                </c:pt>
                <c:pt idx="65">
                  <c:v>86.3</c:v>
                </c:pt>
                <c:pt idx="66">
                  <c:v>38</c:v>
                </c:pt>
                <c:pt idx="67">
                  <c:v>50.3</c:v>
                </c:pt>
                <c:pt idx="68">
                  <c:v>76.5</c:v>
                </c:pt>
                <c:pt idx="69">
                  <c:v>65.099999999999994</c:v>
                </c:pt>
                <c:pt idx="70">
                  <c:v>59</c:v>
                </c:pt>
                <c:pt idx="71">
                  <c:v>43</c:v>
                </c:pt>
                <c:pt idx="72">
                  <c:v>68.5</c:v>
                </c:pt>
                <c:pt idx="73">
                  <c:v>56</c:v>
                </c:pt>
                <c:pt idx="74">
                  <c:v>74.5</c:v>
                </c:pt>
                <c:pt idx="75">
                  <c:v>51.1</c:v>
                </c:pt>
                <c:pt idx="76">
                  <c:v>60.5</c:v>
                </c:pt>
                <c:pt idx="77">
                  <c:v>88</c:v>
                </c:pt>
                <c:pt idx="78">
                  <c:v>41.5</c:v>
                </c:pt>
                <c:pt idx="79">
                  <c:v>67.7</c:v>
                </c:pt>
                <c:pt idx="80">
                  <c:v>45.5</c:v>
                </c:pt>
                <c:pt idx="81">
                  <c:v>88.3</c:v>
                </c:pt>
                <c:pt idx="82">
                  <c:v>66.3</c:v>
                </c:pt>
                <c:pt idx="83">
                  <c:v>55.9</c:v>
                </c:pt>
                <c:pt idx="84">
                  <c:v>82.3</c:v>
                </c:pt>
                <c:pt idx="85">
                  <c:v>64.400000000000006</c:v>
                </c:pt>
                <c:pt idx="86">
                  <c:v>50.4</c:v>
                </c:pt>
                <c:pt idx="87">
                  <c:v>46.5</c:v>
                </c:pt>
                <c:pt idx="88">
                  <c:v>58.3</c:v>
                </c:pt>
                <c:pt idx="89">
                  <c:v>68.7</c:v>
                </c:pt>
                <c:pt idx="90">
                  <c:v>43.9</c:v>
                </c:pt>
                <c:pt idx="91">
                  <c:v>40.6</c:v>
                </c:pt>
                <c:pt idx="92">
                  <c:v>57.1</c:v>
                </c:pt>
                <c:pt idx="93">
                  <c:v>49.9</c:v>
                </c:pt>
                <c:pt idx="94">
                  <c:v>51.5</c:v>
                </c:pt>
                <c:pt idx="95">
                  <c:v>53.5</c:v>
                </c:pt>
                <c:pt idx="96">
                  <c:v>48.4</c:v>
                </c:pt>
                <c:pt idx="97">
                  <c:v>61.4</c:v>
                </c:pt>
                <c:pt idx="98">
                  <c:v>53.9</c:v>
                </c:pt>
                <c:pt idx="99">
                  <c:v>58.5</c:v>
                </c:pt>
                <c:pt idx="100">
                  <c:v>45.4</c:v>
                </c:pt>
                <c:pt idx="101">
                  <c:v>74.8</c:v>
                </c:pt>
                <c:pt idx="102">
                  <c:v>66.8</c:v>
                </c:pt>
                <c:pt idx="103">
                  <c:v>33.200000000000003</c:v>
                </c:pt>
                <c:pt idx="104">
                  <c:v>68.3</c:v>
                </c:pt>
                <c:pt idx="105">
                  <c:v>36.1</c:v>
                </c:pt>
                <c:pt idx="106">
                  <c:v>36.4</c:v>
                </c:pt>
                <c:pt idx="107">
                  <c:v>26</c:v>
                </c:pt>
                <c:pt idx="108">
                  <c:v>44.8</c:v>
                </c:pt>
                <c:pt idx="109">
                  <c:v>86.8</c:v>
                </c:pt>
                <c:pt idx="110">
                  <c:v>42.3</c:v>
                </c:pt>
                <c:pt idx="111">
                  <c:v>35.9</c:v>
                </c:pt>
                <c:pt idx="112">
                  <c:v>56.7</c:v>
                </c:pt>
                <c:pt idx="113">
                  <c:v>37.299999999999997</c:v>
                </c:pt>
                <c:pt idx="114">
                  <c:v>52.6</c:v>
                </c:pt>
                <c:pt idx="115">
                  <c:v>55.1</c:v>
                </c:pt>
                <c:pt idx="116">
                  <c:v>56.2</c:v>
                </c:pt>
                <c:pt idx="117">
                  <c:v>47.2</c:v>
                </c:pt>
                <c:pt idx="118">
                  <c:v>52.1</c:v>
                </c:pt>
                <c:pt idx="119">
                  <c:v>73</c:v>
                </c:pt>
                <c:pt idx="120">
                  <c:v>80.400000000000006</c:v>
                </c:pt>
                <c:pt idx="121">
                  <c:v>40.9</c:v>
                </c:pt>
                <c:pt idx="122">
                  <c:v>70.8</c:v>
                </c:pt>
                <c:pt idx="123">
                  <c:v>49.3</c:v>
                </c:pt>
                <c:pt idx="124">
                  <c:v>67.400000000000006</c:v>
                </c:pt>
                <c:pt idx="125">
                  <c:v>59.5</c:v>
                </c:pt>
                <c:pt idx="126">
                  <c:v>40.9</c:v>
                </c:pt>
                <c:pt idx="127">
                  <c:v>56.7</c:v>
                </c:pt>
                <c:pt idx="128">
                  <c:v>79</c:v>
                </c:pt>
                <c:pt idx="129">
                  <c:v>60</c:v>
                </c:pt>
                <c:pt idx="130">
                  <c:v>56.1</c:v>
                </c:pt>
                <c:pt idx="131">
                  <c:v>39.4</c:v>
                </c:pt>
                <c:pt idx="132">
                  <c:v>64.099999999999994</c:v>
                </c:pt>
                <c:pt idx="133">
                  <c:v>68.8</c:v>
                </c:pt>
                <c:pt idx="134">
                  <c:v>50.5</c:v>
                </c:pt>
                <c:pt idx="135">
                  <c:v>34.4</c:v>
                </c:pt>
                <c:pt idx="136">
                  <c:v>79.099999999999994</c:v>
                </c:pt>
                <c:pt idx="137">
                  <c:v>56.2</c:v>
                </c:pt>
                <c:pt idx="138">
                  <c:v>41.2</c:v>
                </c:pt>
                <c:pt idx="139">
                  <c:v>73.599999999999994</c:v>
                </c:pt>
                <c:pt idx="140">
                  <c:v>79.599999999999994</c:v>
                </c:pt>
                <c:pt idx="141">
                  <c:v>67.099999999999994</c:v>
                </c:pt>
                <c:pt idx="142">
                  <c:v>54.4</c:v>
                </c:pt>
                <c:pt idx="143">
                  <c:v>36.4</c:v>
                </c:pt>
                <c:pt idx="144">
                  <c:v>44.2</c:v>
                </c:pt>
                <c:pt idx="145">
                  <c:v>64.8</c:v>
                </c:pt>
                <c:pt idx="146">
                  <c:v>45.4</c:v>
                </c:pt>
                <c:pt idx="147">
                  <c:v>37.9</c:v>
                </c:pt>
                <c:pt idx="148">
                  <c:v>51</c:v>
                </c:pt>
                <c:pt idx="149">
                  <c:v>50.4</c:v>
                </c:pt>
                <c:pt idx="150">
                  <c:v>48.5</c:v>
                </c:pt>
                <c:pt idx="151">
                  <c:v>77.900000000000006</c:v>
                </c:pt>
                <c:pt idx="152">
                  <c:v>44.6</c:v>
                </c:pt>
                <c:pt idx="153">
                  <c:v>37.700000000000003</c:v>
                </c:pt>
                <c:pt idx="154">
                  <c:v>58.2</c:v>
                </c:pt>
                <c:pt idx="155">
                  <c:v>55.6</c:v>
                </c:pt>
                <c:pt idx="156">
                  <c:v>45.5</c:v>
                </c:pt>
                <c:pt idx="157">
                  <c:v>52.8</c:v>
                </c:pt>
                <c:pt idx="158">
                  <c:v>43.7</c:v>
                </c:pt>
                <c:pt idx="159">
                  <c:v>43.2</c:v>
                </c:pt>
                <c:pt idx="160">
                  <c:v>70.099999999999994</c:v>
                </c:pt>
                <c:pt idx="161">
                  <c:v>42.6</c:v>
                </c:pt>
                <c:pt idx="162">
                  <c:v>73.2</c:v>
                </c:pt>
                <c:pt idx="163">
                  <c:v>49.6</c:v>
                </c:pt>
                <c:pt idx="164">
                  <c:v>50.3</c:v>
                </c:pt>
                <c:pt idx="165">
                  <c:v>44.2</c:v>
                </c:pt>
                <c:pt idx="166">
                  <c:v>61.2</c:v>
                </c:pt>
                <c:pt idx="167">
                  <c:v>57.9</c:v>
                </c:pt>
                <c:pt idx="168">
                  <c:v>35.5</c:v>
                </c:pt>
                <c:pt idx="169">
                  <c:v>57.4</c:v>
                </c:pt>
                <c:pt idx="170">
                  <c:v>39.299999999999997</c:v>
                </c:pt>
                <c:pt idx="171">
                  <c:v>79.099999999999994</c:v>
                </c:pt>
                <c:pt idx="172">
                  <c:v>36.799999999999997</c:v>
                </c:pt>
                <c:pt idx="173">
                  <c:v>52.8</c:v>
                </c:pt>
                <c:pt idx="174">
                  <c:v>62.4</c:v>
                </c:pt>
                <c:pt idx="175">
                  <c:v>75.599999999999994</c:v>
                </c:pt>
                <c:pt idx="176">
                  <c:v>51.3</c:v>
                </c:pt>
                <c:pt idx="177">
                  <c:v>53.9</c:v>
                </c:pt>
                <c:pt idx="178">
                  <c:v>79</c:v>
                </c:pt>
                <c:pt idx="179">
                  <c:v>59.1</c:v>
                </c:pt>
                <c:pt idx="180">
                  <c:v>43.7</c:v>
                </c:pt>
                <c:pt idx="181">
                  <c:v>28.1</c:v>
                </c:pt>
                <c:pt idx="182">
                  <c:v>66.8</c:v>
                </c:pt>
                <c:pt idx="183">
                  <c:v>48.6</c:v>
                </c:pt>
                <c:pt idx="184">
                  <c:v>36</c:v>
                </c:pt>
                <c:pt idx="185">
                  <c:v>30.9</c:v>
                </c:pt>
                <c:pt idx="186">
                  <c:v>69.599999999999994</c:v>
                </c:pt>
                <c:pt idx="187">
                  <c:v>41.9</c:v>
                </c:pt>
                <c:pt idx="188">
                  <c:v>45.1</c:v>
                </c:pt>
                <c:pt idx="189">
                  <c:v>50.2</c:v>
                </c:pt>
                <c:pt idx="190">
                  <c:v>54</c:v>
                </c:pt>
                <c:pt idx="191">
                  <c:v>48.3</c:v>
                </c:pt>
                <c:pt idx="192">
                  <c:v>62.7</c:v>
                </c:pt>
                <c:pt idx="193">
                  <c:v>46.4</c:v>
                </c:pt>
                <c:pt idx="194">
                  <c:v>44.7</c:v>
                </c:pt>
                <c:pt idx="195">
                  <c:v>31.8</c:v>
                </c:pt>
                <c:pt idx="196">
                  <c:v>66.7</c:v>
                </c:pt>
                <c:pt idx="197">
                  <c:v>57</c:v>
                </c:pt>
                <c:pt idx="198">
                  <c:v>52.5</c:v>
                </c:pt>
                <c:pt idx="199">
                  <c:v>50.1</c:v>
                </c:pt>
                <c:pt idx="200">
                  <c:v>59.9</c:v>
                </c:pt>
                <c:pt idx="201">
                  <c:v>47.6</c:v>
                </c:pt>
                <c:pt idx="202">
                  <c:v>54.6</c:v>
                </c:pt>
                <c:pt idx="203">
                  <c:v>43.4</c:v>
                </c:pt>
                <c:pt idx="204">
                  <c:v>36.9</c:v>
                </c:pt>
                <c:pt idx="205">
                  <c:v>39.1</c:v>
                </c:pt>
                <c:pt idx="206">
                  <c:v>54.3</c:v>
                </c:pt>
                <c:pt idx="207">
                  <c:v>65.400000000000006</c:v>
                </c:pt>
                <c:pt idx="208">
                  <c:v>54.6</c:v>
                </c:pt>
                <c:pt idx="209">
                  <c:v>40.6</c:v>
                </c:pt>
                <c:pt idx="210">
                  <c:v>45.4</c:v>
                </c:pt>
                <c:pt idx="211">
                  <c:v>38.1</c:v>
                </c:pt>
                <c:pt idx="212">
                  <c:v>57.5</c:v>
                </c:pt>
                <c:pt idx="213">
                  <c:v>70.8</c:v>
                </c:pt>
                <c:pt idx="214">
                  <c:v>46.8</c:v>
                </c:pt>
                <c:pt idx="215">
                  <c:v>64.2</c:v>
                </c:pt>
                <c:pt idx="216">
                  <c:v>46.6</c:v>
                </c:pt>
                <c:pt idx="217">
                  <c:v>56.6</c:v>
                </c:pt>
                <c:pt idx="218">
                  <c:v>56.3</c:v>
                </c:pt>
                <c:pt idx="219">
                  <c:v>72.900000000000006</c:v>
                </c:pt>
                <c:pt idx="220">
                  <c:v>56.6</c:v>
                </c:pt>
                <c:pt idx="221">
                  <c:v>49</c:v>
                </c:pt>
                <c:pt idx="222">
                  <c:v>32.700000000000003</c:v>
                </c:pt>
                <c:pt idx="223">
                  <c:v>36.5</c:v>
                </c:pt>
                <c:pt idx="224">
                  <c:v>58.5</c:v>
                </c:pt>
                <c:pt idx="225">
                  <c:v>60.7</c:v>
                </c:pt>
                <c:pt idx="226">
                  <c:v>58.8</c:v>
                </c:pt>
                <c:pt idx="227">
                  <c:v>44.1</c:v>
                </c:pt>
                <c:pt idx="228">
                  <c:v>42.1</c:v>
                </c:pt>
                <c:pt idx="229">
                  <c:v>55.5</c:v>
                </c:pt>
                <c:pt idx="230">
                  <c:v>46.3</c:v>
                </c:pt>
                <c:pt idx="231">
                  <c:v>48.5</c:v>
                </c:pt>
                <c:pt idx="232">
                  <c:v>49.9</c:v>
                </c:pt>
                <c:pt idx="233">
                  <c:v>69.099999999999994</c:v>
                </c:pt>
                <c:pt idx="234">
                  <c:v>60.6</c:v>
                </c:pt>
                <c:pt idx="235">
                  <c:v>82.7</c:v>
                </c:pt>
                <c:pt idx="236">
                  <c:v>47.9</c:v>
                </c:pt>
                <c:pt idx="237">
                  <c:v>38.6</c:v>
                </c:pt>
                <c:pt idx="238">
                  <c:v>76.900000000000006</c:v>
                </c:pt>
                <c:pt idx="239">
                  <c:v>72.5</c:v>
                </c:pt>
                <c:pt idx="240">
                  <c:v>43.8</c:v>
                </c:pt>
                <c:pt idx="241">
                  <c:v>59.5</c:v>
                </c:pt>
                <c:pt idx="242">
                  <c:v>51.4</c:v>
                </c:pt>
                <c:pt idx="243">
                  <c:v>41</c:v>
                </c:pt>
                <c:pt idx="244">
                  <c:v>88.9</c:v>
                </c:pt>
                <c:pt idx="245">
                  <c:v>36.5</c:v>
                </c:pt>
                <c:pt idx="246">
                  <c:v>53.2</c:v>
                </c:pt>
                <c:pt idx="247">
                  <c:v>65.599999999999994</c:v>
                </c:pt>
                <c:pt idx="248">
                  <c:v>65.099999999999994</c:v>
                </c:pt>
                <c:pt idx="249">
                  <c:v>50.5</c:v>
                </c:pt>
                <c:pt idx="250">
                  <c:v>48.8</c:v>
                </c:pt>
                <c:pt idx="251">
                  <c:v>65.7</c:v>
                </c:pt>
                <c:pt idx="252">
                  <c:v>60.9</c:v>
                </c:pt>
                <c:pt idx="253">
                  <c:v>48.1</c:v>
                </c:pt>
                <c:pt idx="254">
                  <c:v>58.3</c:v>
                </c:pt>
                <c:pt idx="255">
                  <c:v>50.4</c:v>
                </c:pt>
                <c:pt idx="256">
                  <c:v>43.6</c:v>
                </c:pt>
                <c:pt idx="257">
                  <c:v>67.3</c:v>
                </c:pt>
                <c:pt idx="258">
                  <c:v>52.2</c:v>
                </c:pt>
                <c:pt idx="259">
                  <c:v>39.799999999999997</c:v>
                </c:pt>
                <c:pt idx="260">
                  <c:v>56.2</c:v>
                </c:pt>
                <c:pt idx="261">
                  <c:v>64.599999999999994</c:v>
                </c:pt>
                <c:pt idx="262">
                  <c:v>49</c:v>
                </c:pt>
                <c:pt idx="263">
                  <c:v>62.2</c:v>
                </c:pt>
                <c:pt idx="264">
                  <c:v>47.1</c:v>
                </c:pt>
                <c:pt idx="265">
                  <c:v>60.4</c:v>
                </c:pt>
                <c:pt idx="266">
                  <c:v>20.6</c:v>
                </c:pt>
                <c:pt idx="267">
                  <c:v>28.4</c:v>
                </c:pt>
                <c:pt idx="268">
                  <c:v>42.2</c:v>
                </c:pt>
                <c:pt idx="269">
                  <c:v>88.1</c:v>
                </c:pt>
                <c:pt idx="270">
                  <c:v>40.4</c:v>
                </c:pt>
                <c:pt idx="271">
                  <c:v>54</c:v>
                </c:pt>
                <c:pt idx="272">
                  <c:v>41.9</c:v>
                </c:pt>
                <c:pt idx="273">
                  <c:v>70.3</c:v>
                </c:pt>
                <c:pt idx="274">
                  <c:v>51.3</c:v>
                </c:pt>
                <c:pt idx="275">
                  <c:v>75.099999999999994</c:v>
                </c:pt>
                <c:pt idx="276">
                  <c:v>65.599999999999994</c:v>
                </c:pt>
                <c:pt idx="277">
                  <c:v>75.7</c:v>
                </c:pt>
                <c:pt idx="278">
                  <c:v>43.6</c:v>
                </c:pt>
                <c:pt idx="279">
                  <c:v>30.5</c:v>
                </c:pt>
                <c:pt idx="280">
                  <c:v>42.2</c:v>
                </c:pt>
                <c:pt idx="281">
                  <c:v>59.6</c:v>
                </c:pt>
                <c:pt idx="282">
                  <c:v>66.2</c:v>
                </c:pt>
                <c:pt idx="283">
                  <c:v>64.599999999999994</c:v>
                </c:pt>
                <c:pt idx="284">
                  <c:v>42.4</c:v>
                </c:pt>
                <c:pt idx="285">
                  <c:v>47</c:v>
                </c:pt>
                <c:pt idx="286">
                  <c:v>75.7</c:v>
                </c:pt>
                <c:pt idx="287">
                  <c:v>49.2</c:v>
                </c:pt>
                <c:pt idx="288">
                  <c:v>46.8</c:v>
                </c:pt>
                <c:pt idx="289">
                  <c:v>49.5</c:v>
                </c:pt>
                <c:pt idx="290">
                  <c:v>40.6</c:v>
                </c:pt>
                <c:pt idx="291">
                  <c:v>66.900000000000006</c:v>
                </c:pt>
                <c:pt idx="292">
                  <c:v>38.6</c:v>
                </c:pt>
                <c:pt idx="293">
                  <c:v>34.4</c:v>
                </c:pt>
                <c:pt idx="294">
                  <c:v>47.8</c:v>
                </c:pt>
                <c:pt idx="295">
                  <c:v>46.3</c:v>
                </c:pt>
                <c:pt idx="296">
                  <c:v>48.1</c:v>
                </c:pt>
                <c:pt idx="297">
                  <c:v>41.9</c:v>
                </c:pt>
                <c:pt idx="298">
                  <c:v>43.4</c:v>
                </c:pt>
                <c:pt idx="299">
                  <c:v>52.2</c:v>
                </c:pt>
                <c:pt idx="300">
                  <c:v>49.8</c:v>
                </c:pt>
                <c:pt idx="301">
                  <c:v>60.2</c:v>
                </c:pt>
                <c:pt idx="302">
                  <c:v>56.6</c:v>
                </c:pt>
                <c:pt idx="303">
                  <c:v>49.7</c:v>
                </c:pt>
                <c:pt idx="304">
                  <c:v>60.8</c:v>
                </c:pt>
                <c:pt idx="305">
                  <c:v>49.6</c:v>
                </c:pt>
                <c:pt idx="306">
                  <c:v>38.1</c:v>
                </c:pt>
                <c:pt idx="307">
                  <c:v>55.3</c:v>
                </c:pt>
                <c:pt idx="308">
                  <c:v>80.2</c:v>
                </c:pt>
                <c:pt idx="309">
                  <c:v>72.7</c:v>
                </c:pt>
                <c:pt idx="310">
                  <c:v>40.6</c:v>
                </c:pt>
                <c:pt idx="311">
                  <c:v>40.799999999999997</c:v>
                </c:pt>
                <c:pt idx="312">
                  <c:v>43.6</c:v>
                </c:pt>
                <c:pt idx="313">
                  <c:v>63.7</c:v>
                </c:pt>
                <c:pt idx="314">
                  <c:v>88.8</c:v>
                </c:pt>
                <c:pt idx="315">
                  <c:v>54.7</c:v>
                </c:pt>
                <c:pt idx="316">
                  <c:v>40.799999999999997</c:v>
                </c:pt>
                <c:pt idx="317">
                  <c:v>49.5</c:v>
                </c:pt>
                <c:pt idx="318">
                  <c:v>52.5</c:v>
                </c:pt>
                <c:pt idx="319">
                  <c:v>84</c:v>
                </c:pt>
                <c:pt idx="320">
                  <c:v>40.5</c:v>
                </c:pt>
                <c:pt idx="321">
                  <c:v>64</c:v>
                </c:pt>
                <c:pt idx="322">
                  <c:v>38.4</c:v>
                </c:pt>
                <c:pt idx="323">
                  <c:v>62.5</c:v>
                </c:pt>
                <c:pt idx="324">
                  <c:v>57.4</c:v>
                </c:pt>
                <c:pt idx="325">
                  <c:v>47.5</c:v>
                </c:pt>
                <c:pt idx="326">
                  <c:v>53.8</c:v>
                </c:pt>
                <c:pt idx="327">
                  <c:v>44.8</c:v>
                </c:pt>
                <c:pt idx="328">
                  <c:v>31.4</c:v>
                </c:pt>
                <c:pt idx="329">
                  <c:v>39.1</c:v>
                </c:pt>
                <c:pt idx="330">
                  <c:v>62.5</c:v>
                </c:pt>
                <c:pt idx="331">
                  <c:v>46.3</c:v>
                </c:pt>
                <c:pt idx="332">
                  <c:v>38.4</c:v>
                </c:pt>
                <c:pt idx="333">
                  <c:v>54.5</c:v>
                </c:pt>
                <c:pt idx="334">
                  <c:v>57.1</c:v>
                </c:pt>
                <c:pt idx="335">
                  <c:v>67.099999999999994</c:v>
                </c:pt>
                <c:pt idx="336">
                  <c:v>67.5</c:v>
                </c:pt>
                <c:pt idx="337">
                  <c:v>58.2</c:v>
                </c:pt>
                <c:pt idx="338">
                  <c:v>58.6</c:v>
                </c:pt>
                <c:pt idx="339">
                  <c:v>61.3</c:v>
                </c:pt>
                <c:pt idx="340">
                  <c:v>58.6</c:v>
                </c:pt>
                <c:pt idx="341">
                  <c:v>43.7</c:v>
                </c:pt>
                <c:pt idx="342">
                  <c:v>23.2</c:v>
                </c:pt>
                <c:pt idx="343">
                  <c:v>34.1</c:v>
                </c:pt>
                <c:pt idx="344">
                  <c:v>39.799999999999997</c:v>
                </c:pt>
                <c:pt idx="345">
                  <c:v>41.1</c:v>
                </c:pt>
                <c:pt idx="346">
                  <c:v>47.3</c:v>
                </c:pt>
                <c:pt idx="347">
                  <c:v>39.700000000000003</c:v>
                </c:pt>
                <c:pt idx="348">
                  <c:v>63</c:v>
                </c:pt>
                <c:pt idx="349">
                  <c:v>84.8</c:v>
                </c:pt>
                <c:pt idx="350">
                  <c:v>46</c:v>
                </c:pt>
                <c:pt idx="351">
                  <c:v>36.9</c:v>
                </c:pt>
                <c:pt idx="352">
                  <c:v>67.8</c:v>
                </c:pt>
                <c:pt idx="353">
                  <c:v>30.2</c:v>
                </c:pt>
                <c:pt idx="354">
                  <c:v>34.799999999999997</c:v>
                </c:pt>
                <c:pt idx="355">
                  <c:v>39.6</c:v>
                </c:pt>
                <c:pt idx="356">
                  <c:v>52.1</c:v>
                </c:pt>
                <c:pt idx="357">
                  <c:v>51.9</c:v>
                </c:pt>
                <c:pt idx="358">
                  <c:v>48.6</c:v>
                </c:pt>
                <c:pt idx="359">
                  <c:v>63.3</c:v>
                </c:pt>
                <c:pt idx="360">
                  <c:v>54.9</c:v>
                </c:pt>
                <c:pt idx="361">
                  <c:v>46.8</c:v>
                </c:pt>
                <c:pt idx="362">
                  <c:v>34.1</c:v>
                </c:pt>
                <c:pt idx="363">
                  <c:v>45</c:v>
                </c:pt>
                <c:pt idx="364">
                  <c:v>72.5</c:v>
                </c:pt>
                <c:pt idx="365">
                  <c:v>44.3</c:v>
                </c:pt>
                <c:pt idx="366">
                  <c:v>56</c:v>
                </c:pt>
                <c:pt idx="367">
                  <c:v>59.1</c:v>
                </c:pt>
                <c:pt idx="368">
                  <c:v>76.5</c:v>
                </c:pt>
                <c:pt idx="369">
                  <c:v>63</c:v>
                </c:pt>
                <c:pt idx="370">
                  <c:v>56.5</c:v>
                </c:pt>
                <c:pt idx="371">
                  <c:v>47.3</c:v>
                </c:pt>
                <c:pt idx="372">
                  <c:v>40.4</c:v>
                </c:pt>
                <c:pt idx="373">
                  <c:v>81</c:v>
                </c:pt>
                <c:pt idx="374">
                  <c:v>33.5</c:v>
                </c:pt>
                <c:pt idx="375">
                  <c:v>50.4</c:v>
                </c:pt>
                <c:pt idx="376">
                  <c:v>43.8</c:v>
                </c:pt>
                <c:pt idx="377">
                  <c:v>49.9</c:v>
                </c:pt>
                <c:pt idx="378">
                  <c:v>32.799999999999997</c:v>
                </c:pt>
                <c:pt idx="379">
                  <c:v>50.4</c:v>
                </c:pt>
                <c:pt idx="380">
                  <c:v>36.5</c:v>
                </c:pt>
                <c:pt idx="381">
                  <c:v>51.2</c:v>
                </c:pt>
                <c:pt idx="382">
                  <c:v>34.4</c:v>
                </c:pt>
                <c:pt idx="383">
                  <c:v>38.799999999999997</c:v>
                </c:pt>
                <c:pt idx="384">
                  <c:v>43.5</c:v>
                </c:pt>
                <c:pt idx="385">
                  <c:v>64.599999999999994</c:v>
                </c:pt>
                <c:pt idx="386">
                  <c:v>47.4</c:v>
                </c:pt>
                <c:pt idx="387">
                  <c:v>57.3</c:v>
                </c:pt>
                <c:pt idx="388">
                  <c:v>63.6</c:v>
                </c:pt>
                <c:pt idx="389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7-4E87-A3D6-A918EC7D3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993360"/>
        <c:axId val="1921011120"/>
      </c:scatterChart>
      <c:valAx>
        <c:axId val="192099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</a:t>
                </a:r>
                <a:r>
                  <a:rPr lang="en-US" baseline="0"/>
                  <a:t> screen time (Hours)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011120"/>
        <c:crosses val="autoZero"/>
        <c:crossBetween val="midCat"/>
      </c:valAx>
      <c:valAx>
        <c:axId val="19210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9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DM Sans" pitchFamily="2" charset="0"/>
                <a:ea typeface="+mn-ea"/>
                <a:cs typeface="+mn-cs"/>
              </a:defRPr>
            </a:pPr>
            <a:r>
              <a:rPr lang="en-US" sz="1600" b="1"/>
              <a:t>How Exercise affects Productivity</a:t>
            </a:r>
          </a:p>
        </c:rich>
      </c:tx>
      <c:layout>
        <c:manualLayout>
          <c:xMode val="edge"/>
          <c:yMode val="edge"/>
          <c:x val="7.8668589378169132E-2"/>
          <c:y val="3.3347895685419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DM Sans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Productivity vs ExerciseMinutes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0070C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'Productivity vs ExerciseMinutes'!$E$2:$E$401</c:f>
              <c:numCache>
                <c:formatCode>General</c:formatCode>
                <c:ptCount val="362"/>
                <c:pt idx="0">
                  <c:v>127</c:v>
                </c:pt>
                <c:pt idx="1">
                  <c:v>74</c:v>
                </c:pt>
                <c:pt idx="2">
                  <c:v>67</c:v>
                </c:pt>
                <c:pt idx="3">
                  <c:v>143</c:v>
                </c:pt>
                <c:pt idx="4">
                  <c:v>71</c:v>
                </c:pt>
                <c:pt idx="5">
                  <c:v>141</c:v>
                </c:pt>
                <c:pt idx="6">
                  <c:v>51</c:v>
                </c:pt>
                <c:pt idx="7">
                  <c:v>149</c:v>
                </c:pt>
                <c:pt idx="8">
                  <c:v>50</c:v>
                </c:pt>
                <c:pt idx="9">
                  <c:v>87</c:v>
                </c:pt>
                <c:pt idx="10">
                  <c:v>188</c:v>
                </c:pt>
                <c:pt idx="11">
                  <c:v>139</c:v>
                </c:pt>
                <c:pt idx="12">
                  <c:v>102</c:v>
                </c:pt>
                <c:pt idx="13">
                  <c:v>284</c:v>
                </c:pt>
                <c:pt idx="14">
                  <c:v>223</c:v>
                </c:pt>
                <c:pt idx="15">
                  <c:v>167</c:v>
                </c:pt>
                <c:pt idx="16">
                  <c:v>52</c:v>
                </c:pt>
                <c:pt idx="17">
                  <c:v>82</c:v>
                </c:pt>
                <c:pt idx="18">
                  <c:v>65</c:v>
                </c:pt>
                <c:pt idx="19">
                  <c:v>200</c:v>
                </c:pt>
                <c:pt idx="20">
                  <c:v>130</c:v>
                </c:pt>
                <c:pt idx="21">
                  <c:v>63</c:v>
                </c:pt>
                <c:pt idx="22">
                  <c:v>69</c:v>
                </c:pt>
                <c:pt idx="23">
                  <c:v>194</c:v>
                </c:pt>
                <c:pt idx="24">
                  <c:v>197</c:v>
                </c:pt>
                <c:pt idx="25">
                  <c:v>227</c:v>
                </c:pt>
                <c:pt idx="26">
                  <c:v>164</c:v>
                </c:pt>
                <c:pt idx="27">
                  <c:v>81</c:v>
                </c:pt>
                <c:pt idx="28">
                  <c:v>100</c:v>
                </c:pt>
                <c:pt idx="29">
                  <c:v>116</c:v>
                </c:pt>
                <c:pt idx="30">
                  <c:v>95</c:v>
                </c:pt>
                <c:pt idx="31">
                  <c:v>86</c:v>
                </c:pt>
                <c:pt idx="32">
                  <c:v>15</c:v>
                </c:pt>
                <c:pt idx="33">
                  <c:v>138</c:v>
                </c:pt>
                <c:pt idx="34">
                  <c:v>147</c:v>
                </c:pt>
                <c:pt idx="35">
                  <c:v>153</c:v>
                </c:pt>
                <c:pt idx="36">
                  <c:v>172</c:v>
                </c:pt>
                <c:pt idx="37">
                  <c:v>169</c:v>
                </c:pt>
                <c:pt idx="38">
                  <c:v>74</c:v>
                </c:pt>
                <c:pt idx="39">
                  <c:v>106</c:v>
                </c:pt>
                <c:pt idx="40">
                  <c:v>92</c:v>
                </c:pt>
                <c:pt idx="41">
                  <c:v>119</c:v>
                </c:pt>
                <c:pt idx="42">
                  <c:v>188</c:v>
                </c:pt>
                <c:pt idx="43">
                  <c:v>156</c:v>
                </c:pt>
                <c:pt idx="44">
                  <c:v>222</c:v>
                </c:pt>
                <c:pt idx="45">
                  <c:v>254</c:v>
                </c:pt>
                <c:pt idx="46">
                  <c:v>77</c:v>
                </c:pt>
                <c:pt idx="47">
                  <c:v>181</c:v>
                </c:pt>
                <c:pt idx="48">
                  <c:v>65</c:v>
                </c:pt>
                <c:pt idx="49">
                  <c:v>43</c:v>
                </c:pt>
                <c:pt idx="50">
                  <c:v>77</c:v>
                </c:pt>
                <c:pt idx="51">
                  <c:v>85</c:v>
                </c:pt>
                <c:pt idx="52">
                  <c:v>157</c:v>
                </c:pt>
                <c:pt idx="53">
                  <c:v>15</c:v>
                </c:pt>
                <c:pt idx="54">
                  <c:v>132</c:v>
                </c:pt>
                <c:pt idx="55">
                  <c:v>139</c:v>
                </c:pt>
                <c:pt idx="56">
                  <c:v>148</c:v>
                </c:pt>
                <c:pt idx="57">
                  <c:v>31</c:v>
                </c:pt>
                <c:pt idx="58">
                  <c:v>41</c:v>
                </c:pt>
                <c:pt idx="59">
                  <c:v>84</c:v>
                </c:pt>
                <c:pt idx="60">
                  <c:v>147</c:v>
                </c:pt>
                <c:pt idx="61">
                  <c:v>195</c:v>
                </c:pt>
                <c:pt idx="62">
                  <c:v>102</c:v>
                </c:pt>
                <c:pt idx="63">
                  <c:v>12</c:v>
                </c:pt>
                <c:pt idx="64">
                  <c:v>151</c:v>
                </c:pt>
                <c:pt idx="65">
                  <c:v>163</c:v>
                </c:pt>
                <c:pt idx="66">
                  <c:v>144</c:v>
                </c:pt>
                <c:pt idx="67">
                  <c:v>161</c:v>
                </c:pt>
                <c:pt idx="68">
                  <c:v>72</c:v>
                </c:pt>
                <c:pt idx="69">
                  <c:v>88</c:v>
                </c:pt>
                <c:pt idx="70">
                  <c:v>286</c:v>
                </c:pt>
                <c:pt idx="71">
                  <c:v>70</c:v>
                </c:pt>
                <c:pt idx="72">
                  <c:v>157</c:v>
                </c:pt>
                <c:pt idx="73">
                  <c:v>103</c:v>
                </c:pt>
                <c:pt idx="74">
                  <c:v>67</c:v>
                </c:pt>
                <c:pt idx="75">
                  <c:v>186</c:v>
                </c:pt>
                <c:pt idx="76">
                  <c:v>173</c:v>
                </c:pt>
                <c:pt idx="77">
                  <c:v>164</c:v>
                </c:pt>
                <c:pt idx="78">
                  <c:v>34</c:v>
                </c:pt>
                <c:pt idx="79">
                  <c:v>219</c:v>
                </c:pt>
                <c:pt idx="80">
                  <c:v>59</c:v>
                </c:pt>
                <c:pt idx="81">
                  <c:v>118</c:v>
                </c:pt>
                <c:pt idx="82">
                  <c:v>102</c:v>
                </c:pt>
                <c:pt idx="83">
                  <c:v>96</c:v>
                </c:pt>
                <c:pt idx="84">
                  <c:v>208</c:v>
                </c:pt>
                <c:pt idx="85">
                  <c:v>113</c:v>
                </c:pt>
                <c:pt idx="86">
                  <c:v>74</c:v>
                </c:pt>
                <c:pt idx="87">
                  <c:v>372</c:v>
                </c:pt>
                <c:pt idx="88">
                  <c:v>159</c:v>
                </c:pt>
                <c:pt idx="89">
                  <c:v>64</c:v>
                </c:pt>
                <c:pt idx="90">
                  <c:v>31</c:v>
                </c:pt>
                <c:pt idx="91">
                  <c:v>57</c:v>
                </c:pt>
                <c:pt idx="92">
                  <c:v>90</c:v>
                </c:pt>
                <c:pt idx="93">
                  <c:v>230</c:v>
                </c:pt>
                <c:pt idx="94">
                  <c:v>177</c:v>
                </c:pt>
                <c:pt idx="95">
                  <c:v>109</c:v>
                </c:pt>
                <c:pt idx="96">
                  <c:v>53</c:v>
                </c:pt>
                <c:pt idx="97">
                  <c:v>104</c:v>
                </c:pt>
                <c:pt idx="98">
                  <c:v>77</c:v>
                </c:pt>
                <c:pt idx="99">
                  <c:v>212</c:v>
                </c:pt>
                <c:pt idx="100">
                  <c:v>78</c:v>
                </c:pt>
                <c:pt idx="101">
                  <c:v>101</c:v>
                </c:pt>
                <c:pt idx="102">
                  <c:v>99</c:v>
                </c:pt>
                <c:pt idx="103">
                  <c:v>149</c:v>
                </c:pt>
                <c:pt idx="104">
                  <c:v>26</c:v>
                </c:pt>
                <c:pt idx="105">
                  <c:v>156</c:v>
                </c:pt>
                <c:pt idx="106">
                  <c:v>190</c:v>
                </c:pt>
                <c:pt idx="107">
                  <c:v>69</c:v>
                </c:pt>
                <c:pt idx="108">
                  <c:v>78</c:v>
                </c:pt>
                <c:pt idx="109">
                  <c:v>34</c:v>
                </c:pt>
                <c:pt idx="110">
                  <c:v>157</c:v>
                </c:pt>
                <c:pt idx="111">
                  <c:v>271</c:v>
                </c:pt>
                <c:pt idx="112">
                  <c:v>143</c:v>
                </c:pt>
                <c:pt idx="113">
                  <c:v>43</c:v>
                </c:pt>
                <c:pt idx="114">
                  <c:v>187</c:v>
                </c:pt>
                <c:pt idx="115">
                  <c:v>96</c:v>
                </c:pt>
                <c:pt idx="116">
                  <c:v>193</c:v>
                </c:pt>
                <c:pt idx="117">
                  <c:v>152</c:v>
                </c:pt>
                <c:pt idx="118">
                  <c:v>47</c:v>
                </c:pt>
                <c:pt idx="119">
                  <c:v>195</c:v>
                </c:pt>
                <c:pt idx="120">
                  <c:v>107</c:v>
                </c:pt>
                <c:pt idx="121">
                  <c:v>30</c:v>
                </c:pt>
                <c:pt idx="122">
                  <c:v>86</c:v>
                </c:pt>
                <c:pt idx="123">
                  <c:v>81</c:v>
                </c:pt>
                <c:pt idx="124">
                  <c:v>255</c:v>
                </c:pt>
                <c:pt idx="125">
                  <c:v>185</c:v>
                </c:pt>
                <c:pt idx="126">
                  <c:v>276</c:v>
                </c:pt>
                <c:pt idx="127">
                  <c:v>168</c:v>
                </c:pt>
                <c:pt idx="128">
                  <c:v>160</c:v>
                </c:pt>
                <c:pt idx="129">
                  <c:v>127</c:v>
                </c:pt>
                <c:pt idx="130">
                  <c:v>104</c:v>
                </c:pt>
                <c:pt idx="131">
                  <c:v>177</c:v>
                </c:pt>
                <c:pt idx="132">
                  <c:v>216</c:v>
                </c:pt>
                <c:pt idx="133">
                  <c:v>72</c:v>
                </c:pt>
                <c:pt idx="134">
                  <c:v>57</c:v>
                </c:pt>
                <c:pt idx="135">
                  <c:v>125</c:v>
                </c:pt>
                <c:pt idx="136">
                  <c:v>174</c:v>
                </c:pt>
                <c:pt idx="137">
                  <c:v>113</c:v>
                </c:pt>
                <c:pt idx="138">
                  <c:v>8</c:v>
                </c:pt>
                <c:pt idx="139">
                  <c:v>219</c:v>
                </c:pt>
                <c:pt idx="140">
                  <c:v>55</c:v>
                </c:pt>
                <c:pt idx="141">
                  <c:v>88</c:v>
                </c:pt>
                <c:pt idx="142">
                  <c:v>33</c:v>
                </c:pt>
                <c:pt idx="143">
                  <c:v>291</c:v>
                </c:pt>
                <c:pt idx="144">
                  <c:v>103</c:v>
                </c:pt>
                <c:pt idx="145">
                  <c:v>23</c:v>
                </c:pt>
                <c:pt idx="146">
                  <c:v>176</c:v>
                </c:pt>
                <c:pt idx="147">
                  <c:v>152</c:v>
                </c:pt>
                <c:pt idx="148">
                  <c:v>114</c:v>
                </c:pt>
                <c:pt idx="149">
                  <c:v>174</c:v>
                </c:pt>
                <c:pt idx="150">
                  <c:v>35</c:v>
                </c:pt>
                <c:pt idx="151">
                  <c:v>53</c:v>
                </c:pt>
                <c:pt idx="152">
                  <c:v>224</c:v>
                </c:pt>
                <c:pt idx="153">
                  <c:v>226</c:v>
                </c:pt>
                <c:pt idx="154">
                  <c:v>96</c:v>
                </c:pt>
                <c:pt idx="155">
                  <c:v>253</c:v>
                </c:pt>
                <c:pt idx="156">
                  <c:v>84</c:v>
                </c:pt>
                <c:pt idx="157">
                  <c:v>95</c:v>
                </c:pt>
                <c:pt idx="158">
                  <c:v>111</c:v>
                </c:pt>
                <c:pt idx="159">
                  <c:v>62</c:v>
                </c:pt>
                <c:pt idx="160">
                  <c:v>118</c:v>
                </c:pt>
                <c:pt idx="161">
                  <c:v>175</c:v>
                </c:pt>
                <c:pt idx="162">
                  <c:v>120</c:v>
                </c:pt>
                <c:pt idx="163">
                  <c:v>168</c:v>
                </c:pt>
                <c:pt idx="164">
                  <c:v>187</c:v>
                </c:pt>
                <c:pt idx="165">
                  <c:v>110</c:v>
                </c:pt>
                <c:pt idx="166">
                  <c:v>25</c:v>
                </c:pt>
                <c:pt idx="167">
                  <c:v>91</c:v>
                </c:pt>
                <c:pt idx="168">
                  <c:v>58</c:v>
                </c:pt>
                <c:pt idx="169">
                  <c:v>101</c:v>
                </c:pt>
                <c:pt idx="170">
                  <c:v>118</c:v>
                </c:pt>
                <c:pt idx="171">
                  <c:v>295</c:v>
                </c:pt>
                <c:pt idx="172">
                  <c:v>148</c:v>
                </c:pt>
                <c:pt idx="173">
                  <c:v>62</c:v>
                </c:pt>
                <c:pt idx="174">
                  <c:v>132</c:v>
                </c:pt>
                <c:pt idx="175">
                  <c:v>129</c:v>
                </c:pt>
                <c:pt idx="176">
                  <c:v>189</c:v>
                </c:pt>
                <c:pt idx="177">
                  <c:v>84</c:v>
                </c:pt>
                <c:pt idx="178">
                  <c:v>140</c:v>
                </c:pt>
                <c:pt idx="179">
                  <c:v>170</c:v>
                </c:pt>
                <c:pt idx="180">
                  <c:v>241</c:v>
                </c:pt>
                <c:pt idx="181">
                  <c:v>169</c:v>
                </c:pt>
                <c:pt idx="182">
                  <c:v>112</c:v>
                </c:pt>
                <c:pt idx="183">
                  <c:v>32</c:v>
                </c:pt>
                <c:pt idx="184">
                  <c:v>54</c:v>
                </c:pt>
                <c:pt idx="185">
                  <c:v>56</c:v>
                </c:pt>
                <c:pt idx="186">
                  <c:v>134</c:v>
                </c:pt>
                <c:pt idx="187">
                  <c:v>114</c:v>
                </c:pt>
                <c:pt idx="188">
                  <c:v>37</c:v>
                </c:pt>
                <c:pt idx="189">
                  <c:v>86</c:v>
                </c:pt>
                <c:pt idx="190">
                  <c:v>162</c:v>
                </c:pt>
                <c:pt idx="191">
                  <c:v>119</c:v>
                </c:pt>
                <c:pt idx="192">
                  <c:v>92</c:v>
                </c:pt>
                <c:pt idx="193">
                  <c:v>200</c:v>
                </c:pt>
                <c:pt idx="194">
                  <c:v>120</c:v>
                </c:pt>
                <c:pt idx="195">
                  <c:v>95</c:v>
                </c:pt>
                <c:pt idx="196">
                  <c:v>27</c:v>
                </c:pt>
                <c:pt idx="197">
                  <c:v>145</c:v>
                </c:pt>
                <c:pt idx="198">
                  <c:v>94</c:v>
                </c:pt>
                <c:pt idx="199">
                  <c:v>92</c:v>
                </c:pt>
                <c:pt idx="200">
                  <c:v>18</c:v>
                </c:pt>
                <c:pt idx="201">
                  <c:v>40</c:v>
                </c:pt>
                <c:pt idx="202">
                  <c:v>155</c:v>
                </c:pt>
                <c:pt idx="203">
                  <c:v>106</c:v>
                </c:pt>
                <c:pt idx="204">
                  <c:v>98</c:v>
                </c:pt>
                <c:pt idx="205">
                  <c:v>135</c:v>
                </c:pt>
                <c:pt idx="206">
                  <c:v>127</c:v>
                </c:pt>
                <c:pt idx="207">
                  <c:v>198</c:v>
                </c:pt>
                <c:pt idx="208">
                  <c:v>114</c:v>
                </c:pt>
                <c:pt idx="209">
                  <c:v>211</c:v>
                </c:pt>
                <c:pt idx="210">
                  <c:v>122</c:v>
                </c:pt>
                <c:pt idx="211">
                  <c:v>61</c:v>
                </c:pt>
                <c:pt idx="212">
                  <c:v>19</c:v>
                </c:pt>
                <c:pt idx="213">
                  <c:v>140</c:v>
                </c:pt>
                <c:pt idx="214">
                  <c:v>103</c:v>
                </c:pt>
                <c:pt idx="215">
                  <c:v>229</c:v>
                </c:pt>
                <c:pt idx="216">
                  <c:v>74</c:v>
                </c:pt>
                <c:pt idx="217">
                  <c:v>34</c:v>
                </c:pt>
                <c:pt idx="218">
                  <c:v>166</c:v>
                </c:pt>
                <c:pt idx="219">
                  <c:v>170</c:v>
                </c:pt>
                <c:pt idx="220">
                  <c:v>106</c:v>
                </c:pt>
                <c:pt idx="221">
                  <c:v>155</c:v>
                </c:pt>
                <c:pt idx="222">
                  <c:v>81</c:v>
                </c:pt>
                <c:pt idx="223">
                  <c:v>102</c:v>
                </c:pt>
                <c:pt idx="224">
                  <c:v>214</c:v>
                </c:pt>
                <c:pt idx="225">
                  <c:v>128</c:v>
                </c:pt>
                <c:pt idx="226">
                  <c:v>91</c:v>
                </c:pt>
                <c:pt idx="227">
                  <c:v>208</c:v>
                </c:pt>
                <c:pt idx="228">
                  <c:v>249</c:v>
                </c:pt>
                <c:pt idx="229">
                  <c:v>62</c:v>
                </c:pt>
                <c:pt idx="230">
                  <c:v>105</c:v>
                </c:pt>
                <c:pt idx="231">
                  <c:v>97</c:v>
                </c:pt>
                <c:pt idx="232">
                  <c:v>143</c:v>
                </c:pt>
                <c:pt idx="233">
                  <c:v>31</c:v>
                </c:pt>
                <c:pt idx="234">
                  <c:v>119</c:v>
                </c:pt>
                <c:pt idx="235">
                  <c:v>68</c:v>
                </c:pt>
                <c:pt idx="236">
                  <c:v>126</c:v>
                </c:pt>
                <c:pt idx="237">
                  <c:v>105</c:v>
                </c:pt>
                <c:pt idx="238">
                  <c:v>103</c:v>
                </c:pt>
                <c:pt idx="239">
                  <c:v>48</c:v>
                </c:pt>
                <c:pt idx="240">
                  <c:v>86</c:v>
                </c:pt>
                <c:pt idx="241">
                  <c:v>130</c:v>
                </c:pt>
                <c:pt idx="242">
                  <c:v>183</c:v>
                </c:pt>
                <c:pt idx="243">
                  <c:v>60</c:v>
                </c:pt>
                <c:pt idx="244">
                  <c:v>34</c:v>
                </c:pt>
                <c:pt idx="245">
                  <c:v>123</c:v>
                </c:pt>
                <c:pt idx="246">
                  <c:v>42</c:v>
                </c:pt>
                <c:pt idx="247">
                  <c:v>157</c:v>
                </c:pt>
                <c:pt idx="248">
                  <c:v>65</c:v>
                </c:pt>
                <c:pt idx="249">
                  <c:v>75</c:v>
                </c:pt>
                <c:pt idx="250">
                  <c:v>50</c:v>
                </c:pt>
                <c:pt idx="251">
                  <c:v>98</c:v>
                </c:pt>
                <c:pt idx="252">
                  <c:v>35</c:v>
                </c:pt>
                <c:pt idx="253">
                  <c:v>171</c:v>
                </c:pt>
                <c:pt idx="254">
                  <c:v>132</c:v>
                </c:pt>
                <c:pt idx="255">
                  <c:v>111</c:v>
                </c:pt>
                <c:pt idx="256">
                  <c:v>112</c:v>
                </c:pt>
                <c:pt idx="257">
                  <c:v>97</c:v>
                </c:pt>
                <c:pt idx="258">
                  <c:v>96</c:v>
                </c:pt>
                <c:pt idx="259">
                  <c:v>121</c:v>
                </c:pt>
                <c:pt idx="260">
                  <c:v>43</c:v>
                </c:pt>
                <c:pt idx="261">
                  <c:v>224</c:v>
                </c:pt>
                <c:pt idx="262">
                  <c:v>86</c:v>
                </c:pt>
                <c:pt idx="263">
                  <c:v>2</c:v>
                </c:pt>
                <c:pt idx="264">
                  <c:v>140</c:v>
                </c:pt>
                <c:pt idx="265">
                  <c:v>33</c:v>
                </c:pt>
                <c:pt idx="266">
                  <c:v>143</c:v>
                </c:pt>
                <c:pt idx="267">
                  <c:v>269</c:v>
                </c:pt>
                <c:pt idx="268">
                  <c:v>45</c:v>
                </c:pt>
                <c:pt idx="269">
                  <c:v>145</c:v>
                </c:pt>
                <c:pt idx="270">
                  <c:v>121</c:v>
                </c:pt>
                <c:pt idx="271">
                  <c:v>47</c:v>
                </c:pt>
                <c:pt idx="272">
                  <c:v>54</c:v>
                </c:pt>
                <c:pt idx="273">
                  <c:v>39</c:v>
                </c:pt>
                <c:pt idx="274">
                  <c:v>133</c:v>
                </c:pt>
                <c:pt idx="275">
                  <c:v>173</c:v>
                </c:pt>
                <c:pt idx="276">
                  <c:v>94</c:v>
                </c:pt>
                <c:pt idx="277">
                  <c:v>53</c:v>
                </c:pt>
                <c:pt idx="278">
                  <c:v>218</c:v>
                </c:pt>
                <c:pt idx="279">
                  <c:v>58</c:v>
                </c:pt>
                <c:pt idx="280">
                  <c:v>162</c:v>
                </c:pt>
                <c:pt idx="281">
                  <c:v>26</c:v>
                </c:pt>
                <c:pt idx="282">
                  <c:v>174</c:v>
                </c:pt>
                <c:pt idx="283">
                  <c:v>91</c:v>
                </c:pt>
                <c:pt idx="284">
                  <c:v>160</c:v>
                </c:pt>
                <c:pt idx="285">
                  <c:v>208</c:v>
                </c:pt>
                <c:pt idx="286">
                  <c:v>4</c:v>
                </c:pt>
                <c:pt idx="287">
                  <c:v>57</c:v>
                </c:pt>
                <c:pt idx="288">
                  <c:v>72</c:v>
                </c:pt>
                <c:pt idx="289">
                  <c:v>214</c:v>
                </c:pt>
                <c:pt idx="290">
                  <c:v>87</c:v>
                </c:pt>
                <c:pt idx="291">
                  <c:v>69</c:v>
                </c:pt>
                <c:pt idx="292">
                  <c:v>120</c:v>
                </c:pt>
                <c:pt idx="293">
                  <c:v>54</c:v>
                </c:pt>
                <c:pt idx="294">
                  <c:v>124</c:v>
                </c:pt>
                <c:pt idx="295">
                  <c:v>237</c:v>
                </c:pt>
                <c:pt idx="296">
                  <c:v>2</c:v>
                </c:pt>
                <c:pt idx="297">
                  <c:v>73</c:v>
                </c:pt>
                <c:pt idx="298">
                  <c:v>88</c:v>
                </c:pt>
                <c:pt idx="299">
                  <c:v>225</c:v>
                </c:pt>
                <c:pt idx="300">
                  <c:v>2</c:v>
                </c:pt>
                <c:pt idx="301">
                  <c:v>259</c:v>
                </c:pt>
                <c:pt idx="302">
                  <c:v>152</c:v>
                </c:pt>
                <c:pt idx="303">
                  <c:v>120</c:v>
                </c:pt>
                <c:pt idx="304">
                  <c:v>18</c:v>
                </c:pt>
                <c:pt idx="305">
                  <c:v>132</c:v>
                </c:pt>
                <c:pt idx="306">
                  <c:v>52</c:v>
                </c:pt>
                <c:pt idx="307">
                  <c:v>188</c:v>
                </c:pt>
                <c:pt idx="308">
                  <c:v>34</c:v>
                </c:pt>
                <c:pt idx="309">
                  <c:v>121</c:v>
                </c:pt>
                <c:pt idx="310">
                  <c:v>90</c:v>
                </c:pt>
                <c:pt idx="311">
                  <c:v>49</c:v>
                </c:pt>
                <c:pt idx="312">
                  <c:v>148</c:v>
                </c:pt>
                <c:pt idx="313">
                  <c:v>148</c:v>
                </c:pt>
                <c:pt idx="314">
                  <c:v>180</c:v>
                </c:pt>
                <c:pt idx="315">
                  <c:v>170</c:v>
                </c:pt>
                <c:pt idx="316">
                  <c:v>253</c:v>
                </c:pt>
                <c:pt idx="317">
                  <c:v>210</c:v>
                </c:pt>
                <c:pt idx="318">
                  <c:v>96</c:v>
                </c:pt>
                <c:pt idx="319">
                  <c:v>2</c:v>
                </c:pt>
                <c:pt idx="320">
                  <c:v>90</c:v>
                </c:pt>
                <c:pt idx="321">
                  <c:v>159</c:v>
                </c:pt>
                <c:pt idx="322">
                  <c:v>56</c:v>
                </c:pt>
                <c:pt idx="323">
                  <c:v>83</c:v>
                </c:pt>
                <c:pt idx="324">
                  <c:v>130</c:v>
                </c:pt>
                <c:pt idx="325">
                  <c:v>99</c:v>
                </c:pt>
                <c:pt idx="326">
                  <c:v>167</c:v>
                </c:pt>
                <c:pt idx="327">
                  <c:v>105</c:v>
                </c:pt>
                <c:pt idx="328">
                  <c:v>131</c:v>
                </c:pt>
                <c:pt idx="329">
                  <c:v>78</c:v>
                </c:pt>
                <c:pt idx="330">
                  <c:v>103</c:v>
                </c:pt>
                <c:pt idx="331">
                  <c:v>47</c:v>
                </c:pt>
                <c:pt idx="332">
                  <c:v>178</c:v>
                </c:pt>
                <c:pt idx="333">
                  <c:v>65</c:v>
                </c:pt>
                <c:pt idx="334">
                  <c:v>179</c:v>
                </c:pt>
                <c:pt idx="335">
                  <c:v>69</c:v>
                </c:pt>
                <c:pt idx="336">
                  <c:v>106</c:v>
                </c:pt>
                <c:pt idx="337">
                  <c:v>67</c:v>
                </c:pt>
                <c:pt idx="338">
                  <c:v>55</c:v>
                </c:pt>
                <c:pt idx="339">
                  <c:v>19</c:v>
                </c:pt>
                <c:pt idx="340">
                  <c:v>69</c:v>
                </c:pt>
                <c:pt idx="341">
                  <c:v>137</c:v>
                </c:pt>
                <c:pt idx="342">
                  <c:v>207</c:v>
                </c:pt>
                <c:pt idx="343">
                  <c:v>66</c:v>
                </c:pt>
                <c:pt idx="344">
                  <c:v>9</c:v>
                </c:pt>
                <c:pt idx="345">
                  <c:v>140</c:v>
                </c:pt>
                <c:pt idx="346">
                  <c:v>182</c:v>
                </c:pt>
                <c:pt idx="347">
                  <c:v>146</c:v>
                </c:pt>
                <c:pt idx="348">
                  <c:v>169</c:v>
                </c:pt>
                <c:pt idx="349">
                  <c:v>233</c:v>
                </c:pt>
                <c:pt idx="350">
                  <c:v>123</c:v>
                </c:pt>
                <c:pt idx="351">
                  <c:v>138</c:v>
                </c:pt>
                <c:pt idx="352">
                  <c:v>61</c:v>
                </c:pt>
                <c:pt idx="353">
                  <c:v>19</c:v>
                </c:pt>
                <c:pt idx="354">
                  <c:v>40</c:v>
                </c:pt>
                <c:pt idx="355">
                  <c:v>99</c:v>
                </c:pt>
                <c:pt idx="356">
                  <c:v>83</c:v>
                </c:pt>
                <c:pt idx="357">
                  <c:v>252</c:v>
                </c:pt>
                <c:pt idx="358">
                  <c:v>99</c:v>
                </c:pt>
                <c:pt idx="359">
                  <c:v>193</c:v>
                </c:pt>
                <c:pt idx="360">
                  <c:v>97</c:v>
                </c:pt>
                <c:pt idx="361">
                  <c:v>88</c:v>
                </c:pt>
              </c:numCache>
            </c:numRef>
          </c:xVal>
          <c:yVal>
            <c:numRef>
              <c:f>'Productivity vs ExerciseMinutes'!$D$1:$D$401</c:f>
              <c:numCache>
                <c:formatCode>General</c:formatCode>
                <c:ptCount val="363"/>
                <c:pt idx="0">
                  <c:v>0</c:v>
                </c:pt>
                <c:pt idx="1">
                  <c:v>44.7</c:v>
                </c:pt>
                <c:pt idx="2">
                  <c:v>78</c:v>
                </c:pt>
                <c:pt idx="3">
                  <c:v>51.8</c:v>
                </c:pt>
                <c:pt idx="4">
                  <c:v>38.5</c:v>
                </c:pt>
                <c:pt idx="5">
                  <c:v>44</c:v>
                </c:pt>
                <c:pt idx="6">
                  <c:v>64.8</c:v>
                </c:pt>
                <c:pt idx="7">
                  <c:v>87</c:v>
                </c:pt>
                <c:pt idx="8">
                  <c:v>91.7</c:v>
                </c:pt>
                <c:pt idx="9">
                  <c:v>42.2</c:v>
                </c:pt>
                <c:pt idx="10">
                  <c:v>55.9</c:v>
                </c:pt>
                <c:pt idx="11">
                  <c:v>88.4</c:v>
                </c:pt>
                <c:pt idx="12">
                  <c:v>33</c:v>
                </c:pt>
                <c:pt idx="13">
                  <c:v>70.7</c:v>
                </c:pt>
                <c:pt idx="14">
                  <c:v>37.6</c:v>
                </c:pt>
                <c:pt idx="15">
                  <c:v>60.3</c:v>
                </c:pt>
                <c:pt idx="16">
                  <c:v>49</c:v>
                </c:pt>
                <c:pt idx="17">
                  <c:v>85.1</c:v>
                </c:pt>
                <c:pt idx="18">
                  <c:v>52</c:v>
                </c:pt>
                <c:pt idx="19">
                  <c:v>48.1</c:v>
                </c:pt>
                <c:pt idx="20">
                  <c:v>53.1</c:v>
                </c:pt>
                <c:pt idx="21">
                  <c:v>76.400000000000006</c:v>
                </c:pt>
                <c:pt idx="22">
                  <c:v>77.3</c:v>
                </c:pt>
                <c:pt idx="23">
                  <c:v>50.3</c:v>
                </c:pt>
                <c:pt idx="24">
                  <c:v>51</c:v>
                </c:pt>
                <c:pt idx="25">
                  <c:v>53.3</c:v>
                </c:pt>
                <c:pt idx="26">
                  <c:v>60</c:v>
                </c:pt>
                <c:pt idx="27">
                  <c:v>61.1</c:v>
                </c:pt>
                <c:pt idx="28">
                  <c:v>38</c:v>
                </c:pt>
                <c:pt idx="29">
                  <c:v>42.6</c:v>
                </c:pt>
                <c:pt idx="30">
                  <c:v>60.3</c:v>
                </c:pt>
                <c:pt idx="31">
                  <c:v>57</c:v>
                </c:pt>
                <c:pt idx="32">
                  <c:v>39.6</c:v>
                </c:pt>
                <c:pt idx="33">
                  <c:v>53.6</c:v>
                </c:pt>
                <c:pt idx="34">
                  <c:v>45.7</c:v>
                </c:pt>
                <c:pt idx="35">
                  <c:v>68.099999999999994</c:v>
                </c:pt>
                <c:pt idx="36">
                  <c:v>49.8</c:v>
                </c:pt>
                <c:pt idx="37">
                  <c:v>51.6</c:v>
                </c:pt>
                <c:pt idx="38">
                  <c:v>67.400000000000006</c:v>
                </c:pt>
                <c:pt idx="39">
                  <c:v>51.7</c:v>
                </c:pt>
                <c:pt idx="40">
                  <c:v>77.7</c:v>
                </c:pt>
                <c:pt idx="41">
                  <c:v>37.6</c:v>
                </c:pt>
                <c:pt idx="42">
                  <c:v>58.8</c:v>
                </c:pt>
                <c:pt idx="43">
                  <c:v>79.599999999999994</c:v>
                </c:pt>
                <c:pt idx="44">
                  <c:v>49.2</c:v>
                </c:pt>
                <c:pt idx="45">
                  <c:v>34.799999999999997</c:v>
                </c:pt>
                <c:pt idx="46">
                  <c:v>52.8</c:v>
                </c:pt>
                <c:pt idx="47">
                  <c:v>27.1</c:v>
                </c:pt>
                <c:pt idx="48">
                  <c:v>38.5</c:v>
                </c:pt>
                <c:pt idx="49">
                  <c:v>44.9</c:v>
                </c:pt>
                <c:pt idx="50">
                  <c:v>44.8</c:v>
                </c:pt>
                <c:pt idx="51">
                  <c:v>60</c:v>
                </c:pt>
                <c:pt idx="52">
                  <c:v>51.7</c:v>
                </c:pt>
                <c:pt idx="53">
                  <c:v>74</c:v>
                </c:pt>
                <c:pt idx="54">
                  <c:v>67.8</c:v>
                </c:pt>
                <c:pt idx="55">
                  <c:v>40.299999999999997</c:v>
                </c:pt>
                <c:pt idx="56">
                  <c:v>46.3</c:v>
                </c:pt>
                <c:pt idx="57">
                  <c:v>45.8</c:v>
                </c:pt>
                <c:pt idx="58">
                  <c:v>42.2</c:v>
                </c:pt>
                <c:pt idx="59">
                  <c:v>51.1</c:v>
                </c:pt>
                <c:pt idx="60">
                  <c:v>48.3</c:v>
                </c:pt>
                <c:pt idx="61">
                  <c:v>86.3</c:v>
                </c:pt>
                <c:pt idx="62">
                  <c:v>38</c:v>
                </c:pt>
                <c:pt idx="63">
                  <c:v>76.5</c:v>
                </c:pt>
                <c:pt idx="64">
                  <c:v>65.099999999999994</c:v>
                </c:pt>
                <c:pt idx="65">
                  <c:v>43</c:v>
                </c:pt>
                <c:pt idx="66">
                  <c:v>68.5</c:v>
                </c:pt>
                <c:pt idx="67">
                  <c:v>56</c:v>
                </c:pt>
                <c:pt idx="68">
                  <c:v>74.5</c:v>
                </c:pt>
                <c:pt idx="69">
                  <c:v>51.1</c:v>
                </c:pt>
                <c:pt idx="70">
                  <c:v>60.5</c:v>
                </c:pt>
                <c:pt idx="71">
                  <c:v>88</c:v>
                </c:pt>
                <c:pt idx="72">
                  <c:v>41.5</c:v>
                </c:pt>
                <c:pt idx="73">
                  <c:v>67.7</c:v>
                </c:pt>
                <c:pt idx="74">
                  <c:v>45.5</c:v>
                </c:pt>
                <c:pt idx="75">
                  <c:v>55.9</c:v>
                </c:pt>
                <c:pt idx="76">
                  <c:v>82.3</c:v>
                </c:pt>
                <c:pt idx="77">
                  <c:v>64.400000000000006</c:v>
                </c:pt>
                <c:pt idx="78">
                  <c:v>50.4</c:v>
                </c:pt>
                <c:pt idx="79">
                  <c:v>46.5</c:v>
                </c:pt>
                <c:pt idx="80">
                  <c:v>58.3</c:v>
                </c:pt>
                <c:pt idx="81">
                  <c:v>68.7</c:v>
                </c:pt>
                <c:pt idx="82">
                  <c:v>43.9</c:v>
                </c:pt>
                <c:pt idx="83">
                  <c:v>40.6</c:v>
                </c:pt>
                <c:pt idx="84">
                  <c:v>57.1</c:v>
                </c:pt>
                <c:pt idx="85">
                  <c:v>49.9</c:v>
                </c:pt>
                <c:pt idx="86">
                  <c:v>53.5</c:v>
                </c:pt>
                <c:pt idx="87">
                  <c:v>48.4</c:v>
                </c:pt>
                <c:pt idx="88">
                  <c:v>61.4</c:v>
                </c:pt>
                <c:pt idx="89">
                  <c:v>53.9</c:v>
                </c:pt>
                <c:pt idx="90">
                  <c:v>58.5</c:v>
                </c:pt>
                <c:pt idx="91">
                  <c:v>45.4</c:v>
                </c:pt>
                <c:pt idx="92">
                  <c:v>66.8</c:v>
                </c:pt>
                <c:pt idx="93">
                  <c:v>33.200000000000003</c:v>
                </c:pt>
                <c:pt idx="94">
                  <c:v>68.3</c:v>
                </c:pt>
                <c:pt idx="95">
                  <c:v>36.1</c:v>
                </c:pt>
                <c:pt idx="96">
                  <c:v>36.4</c:v>
                </c:pt>
                <c:pt idx="97">
                  <c:v>26</c:v>
                </c:pt>
                <c:pt idx="98">
                  <c:v>44.8</c:v>
                </c:pt>
                <c:pt idx="99">
                  <c:v>86.8</c:v>
                </c:pt>
                <c:pt idx="100">
                  <c:v>42.3</c:v>
                </c:pt>
                <c:pt idx="101">
                  <c:v>35.9</c:v>
                </c:pt>
                <c:pt idx="102">
                  <c:v>56.7</c:v>
                </c:pt>
                <c:pt idx="103">
                  <c:v>52.6</c:v>
                </c:pt>
                <c:pt idx="104">
                  <c:v>55.1</c:v>
                </c:pt>
                <c:pt idx="105">
                  <c:v>56.2</c:v>
                </c:pt>
                <c:pt idx="106">
                  <c:v>47.2</c:v>
                </c:pt>
                <c:pt idx="107">
                  <c:v>73</c:v>
                </c:pt>
                <c:pt idx="108">
                  <c:v>80.400000000000006</c:v>
                </c:pt>
                <c:pt idx="109">
                  <c:v>40.9</c:v>
                </c:pt>
                <c:pt idx="110">
                  <c:v>70.8</c:v>
                </c:pt>
                <c:pt idx="111">
                  <c:v>49.3</c:v>
                </c:pt>
                <c:pt idx="112">
                  <c:v>67.400000000000006</c:v>
                </c:pt>
                <c:pt idx="113">
                  <c:v>59.5</c:v>
                </c:pt>
                <c:pt idx="114">
                  <c:v>40.9</c:v>
                </c:pt>
                <c:pt idx="115">
                  <c:v>56.7</c:v>
                </c:pt>
                <c:pt idx="116">
                  <c:v>79</c:v>
                </c:pt>
                <c:pt idx="117">
                  <c:v>60</c:v>
                </c:pt>
                <c:pt idx="118">
                  <c:v>56.1</c:v>
                </c:pt>
                <c:pt idx="119">
                  <c:v>64.099999999999994</c:v>
                </c:pt>
                <c:pt idx="120">
                  <c:v>68.8</c:v>
                </c:pt>
                <c:pt idx="121">
                  <c:v>50.5</c:v>
                </c:pt>
                <c:pt idx="122">
                  <c:v>34.4</c:v>
                </c:pt>
                <c:pt idx="123">
                  <c:v>79.099999999999994</c:v>
                </c:pt>
                <c:pt idx="124">
                  <c:v>41.2</c:v>
                </c:pt>
                <c:pt idx="125">
                  <c:v>73.599999999999994</c:v>
                </c:pt>
                <c:pt idx="126">
                  <c:v>79.599999999999994</c:v>
                </c:pt>
                <c:pt idx="127">
                  <c:v>67.099999999999994</c:v>
                </c:pt>
                <c:pt idx="128">
                  <c:v>54.4</c:v>
                </c:pt>
                <c:pt idx="129">
                  <c:v>36.4</c:v>
                </c:pt>
                <c:pt idx="130">
                  <c:v>44.2</c:v>
                </c:pt>
                <c:pt idx="131">
                  <c:v>64.8</c:v>
                </c:pt>
                <c:pt idx="132">
                  <c:v>45.4</c:v>
                </c:pt>
                <c:pt idx="133">
                  <c:v>37.9</c:v>
                </c:pt>
                <c:pt idx="134">
                  <c:v>51</c:v>
                </c:pt>
                <c:pt idx="135">
                  <c:v>50.4</c:v>
                </c:pt>
                <c:pt idx="136">
                  <c:v>48.5</c:v>
                </c:pt>
                <c:pt idx="137">
                  <c:v>77.900000000000006</c:v>
                </c:pt>
                <c:pt idx="138">
                  <c:v>33.1</c:v>
                </c:pt>
                <c:pt idx="139">
                  <c:v>44.6</c:v>
                </c:pt>
                <c:pt idx="140">
                  <c:v>37.700000000000003</c:v>
                </c:pt>
                <c:pt idx="141">
                  <c:v>58.2</c:v>
                </c:pt>
                <c:pt idx="142">
                  <c:v>55.6</c:v>
                </c:pt>
                <c:pt idx="143">
                  <c:v>45.5</c:v>
                </c:pt>
                <c:pt idx="144">
                  <c:v>52.8</c:v>
                </c:pt>
                <c:pt idx="145">
                  <c:v>43.7</c:v>
                </c:pt>
                <c:pt idx="146">
                  <c:v>43.2</c:v>
                </c:pt>
                <c:pt idx="147">
                  <c:v>70.099999999999994</c:v>
                </c:pt>
                <c:pt idx="148">
                  <c:v>42.6</c:v>
                </c:pt>
                <c:pt idx="149">
                  <c:v>73.2</c:v>
                </c:pt>
                <c:pt idx="150">
                  <c:v>49.6</c:v>
                </c:pt>
                <c:pt idx="151">
                  <c:v>50.3</c:v>
                </c:pt>
                <c:pt idx="152">
                  <c:v>44.2</c:v>
                </c:pt>
                <c:pt idx="153">
                  <c:v>35.5</c:v>
                </c:pt>
                <c:pt idx="154">
                  <c:v>57.4</c:v>
                </c:pt>
                <c:pt idx="155">
                  <c:v>39.299999999999997</c:v>
                </c:pt>
                <c:pt idx="156">
                  <c:v>79.099999999999994</c:v>
                </c:pt>
                <c:pt idx="157">
                  <c:v>36.799999999999997</c:v>
                </c:pt>
                <c:pt idx="158">
                  <c:v>52.8</c:v>
                </c:pt>
                <c:pt idx="159">
                  <c:v>62.4</c:v>
                </c:pt>
                <c:pt idx="160">
                  <c:v>24.6</c:v>
                </c:pt>
                <c:pt idx="161">
                  <c:v>75.599999999999994</c:v>
                </c:pt>
                <c:pt idx="162">
                  <c:v>51.3</c:v>
                </c:pt>
                <c:pt idx="163">
                  <c:v>53.9</c:v>
                </c:pt>
                <c:pt idx="164">
                  <c:v>79</c:v>
                </c:pt>
                <c:pt idx="165">
                  <c:v>59.1</c:v>
                </c:pt>
                <c:pt idx="166">
                  <c:v>43.7</c:v>
                </c:pt>
                <c:pt idx="167">
                  <c:v>28.1</c:v>
                </c:pt>
                <c:pt idx="168">
                  <c:v>48.6</c:v>
                </c:pt>
                <c:pt idx="169">
                  <c:v>36</c:v>
                </c:pt>
                <c:pt idx="170">
                  <c:v>30.9</c:v>
                </c:pt>
                <c:pt idx="171">
                  <c:v>69.599999999999994</c:v>
                </c:pt>
                <c:pt idx="172">
                  <c:v>41.9</c:v>
                </c:pt>
                <c:pt idx="173">
                  <c:v>54</c:v>
                </c:pt>
                <c:pt idx="174">
                  <c:v>48.3</c:v>
                </c:pt>
                <c:pt idx="175">
                  <c:v>62.7</c:v>
                </c:pt>
                <c:pt idx="176">
                  <c:v>46.4</c:v>
                </c:pt>
                <c:pt idx="177">
                  <c:v>44.7</c:v>
                </c:pt>
                <c:pt idx="178">
                  <c:v>66.7</c:v>
                </c:pt>
                <c:pt idx="179">
                  <c:v>57</c:v>
                </c:pt>
                <c:pt idx="180">
                  <c:v>52.5</c:v>
                </c:pt>
                <c:pt idx="181">
                  <c:v>50.1</c:v>
                </c:pt>
                <c:pt idx="182">
                  <c:v>59.9</c:v>
                </c:pt>
                <c:pt idx="183">
                  <c:v>47.6</c:v>
                </c:pt>
                <c:pt idx="184">
                  <c:v>54.6</c:v>
                </c:pt>
                <c:pt idx="185">
                  <c:v>43.4</c:v>
                </c:pt>
                <c:pt idx="186">
                  <c:v>36.9</c:v>
                </c:pt>
                <c:pt idx="187">
                  <c:v>39.1</c:v>
                </c:pt>
                <c:pt idx="188">
                  <c:v>54.3</c:v>
                </c:pt>
                <c:pt idx="189">
                  <c:v>65.400000000000006</c:v>
                </c:pt>
                <c:pt idx="190">
                  <c:v>54.6</c:v>
                </c:pt>
                <c:pt idx="191">
                  <c:v>40.6</c:v>
                </c:pt>
                <c:pt idx="192">
                  <c:v>45.4</c:v>
                </c:pt>
                <c:pt idx="193">
                  <c:v>32.6</c:v>
                </c:pt>
                <c:pt idx="194">
                  <c:v>38.1</c:v>
                </c:pt>
                <c:pt idx="195">
                  <c:v>57.5</c:v>
                </c:pt>
                <c:pt idx="196">
                  <c:v>70.8</c:v>
                </c:pt>
                <c:pt idx="197">
                  <c:v>46.8</c:v>
                </c:pt>
                <c:pt idx="198">
                  <c:v>64.2</c:v>
                </c:pt>
                <c:pt idx="199">
                  <c:v>56.6</c:v>
                </c:pt>
                <c:pt idx="200">
                  <c:v>56.3</c:v>
                </c:pt>
                <c:pt idx="201">
                  <c:v>72.900000000000006</c:v>
                </c:pt>
                <c:pt idx="202">
                  <c:v>56.6</c:v>
                </c:pt>
                <c:pt idx="203">
                  <c:v>49</c:v>
                </c:pt>
                <c:pt idx="204">
                  <c:v>32.700000000000003</c:v>
                </c:pt>
                <c:pt idx="205">
                  <c:v>36.5</c:v>
                </c:pt>
                <c:pt idx="206">
                  <c:v>58.5</c:v>
                </c:pt>
                <c:pt idx="207">
                  <c:v>60.7</c:v>
                </c:pt>
                <c:pt idx="208">
                  <c:v>58.8</c:v>
                </c:pt>
                <c:pt idx="209">
                  <c:v>44.1</c:v>
                </c:pt>
                <c:pt idx="210">
                  <c:v>55.5</c:v>
                </c:pt>
                <c:pt idx="211">
                  <c:v>46.3</c:v>
                </c:pt>
                <c:pt idx="212">
                  <c:v>48.5</c:v>
                </c:pt>
                <c:pt idx="213">
                  <c:v>49.9</c:v>
                </c:pt>
                <c:pt idx="214">
                  <c:v>69.099999999999994</c:v>
                </c:pt>
                <c:pt idx="215">
                  <c:v>60.6</c:v>
                </c:pt>
                <c:pt idx="216">
                  <c:v>82.7</c:v>
                </c:pt>
                <c:pt idx="217">
                  <c:v>47.9</c:v>
                </c:pt>
                <c:pt idx="218">
                  <c:v>38.6</c:v>
                </c:pt>
                <c:pt idx="219">
                  <c:v>76.900000000000006</c:v>
                </c:pt>
                <c:pt idx="220">
                  <c:v>72.5</c:v>
                </c:pt>
                <c:pt idx="221">
                  <c:v>43.8</c:v>
                </c:pt>
                <c:pt idx="222">
                  <c:v>59.5</c:v>
                </c:pt>
                <c:pt idx="223">
                  <c:v>51.4</c:v>
                </c:pt>
                <c:pt idx="224">
                  <c:v>41</c:v>
                </c:pt>
                <c:pt idx="225">
                  <c:v>88.9</c:v>
                </c:pt>
                <c:pt idx="226">
                  <c:v>36.5</c:v>
                </c:pt>
                <c:pt idx="227">
                  <c:v>53.2</c:v>
                </c:pt>
                <c:pt idx="228">
                  <c:v>65.599999999999994</c:v>
                </c:pt>
                <c:pt idx="229">
                  <c:v>50.5</c:v>
                </c:pt>
                <c:pt idx="230">
                  <c:v>48.8</c:v>
                </c:pt>
                <c:pt idx="231">
                  <c:v>65.7</c:v>
                </c:pt>
                <c:pt idx="232">
                  <c:v>60.9</c:v>
                </c:pt>
                <c:pt idx="233">
                  <c:v>48.1</c:v>
                </c:pt>
                <c:pt idx="234">
                  <c:v>58.3</c:v>
                </c:pt>
                <c:pt idx="235">
                  <c:v>50.4</c:v>
                </c:pt>
                <c:pt idx="236">
                  <c:v>43.6</c:v>
                </c:pt>
                <c:pt idx="237">
                  <c:v>67.3</c:v>
                </c:pt>
                <c:pt idx="238">
                  <c:v>52.2</c:v>
                </c:pt>
                <c:pt idx="239">
                  <c:v>39.799999999999997</c:v>
                </c:pt>
                <c:pt idx="240">
                  <c:v>56.2</c:v>
                </c:pt>
                <c:pt idx="241">
                  <c:v>64.599999999999994</c:v>
                </c:pt>
                <c:pt idx="242">
                  <c:v>49</c:v>
                </c:pt>
                <c:pt idx="243">
                  <c:v>62.2</c:v>
                </c:pt>
                <c:pt idx="244">
                  <c:v>47.1</c:v>
                </c:pt>
                <c:pt idx="245">
                  <c:v>60.4</c:v>
                </c:pt>
                <c:pt idx="246">
                  <c:v>20.6</c:v>
                </c:pt>
                <c:pt idx="247">
                  <c:v>28.4</c:v>
                </c:pt>
                <c:pt idx="248">
                  <c:v>42.2</c:v>
                </c:pt>
                <c:pt idx="249">
                  <c:v>88.1</c:v>
                </c:pt>
                <c:pt idx="250">
                  <c:v>54</c:v>
                </c:pt>
                <c:pt idx="251">
                  <c:v>41.9</c:v>
                </c:pt>
                <c:pt idx="252">
                  <c:v>70.3</c:v>
                </c:pt>
                <c:pt idx="253">
                  <c:v>51.3</c:v>
                </c:pt>
                <c:pt idx="254">
                  <c:v>75.099999999999994</c:v>
                </c:pt>
                <c:pt idx="255">
                  <c:v>65.599999999999994</c:v>
                </c:pt>
                <c:pt idx="256">
                  <c:v>75.7</c:v>
                </c:pt>
                <c:pt idx="257">
                  <c:v>43.6</c:v>
                </c:pt>
                <c:pt idx="258">
                  <c:v>30.5</c:v>
                </c:pt>
                <c:pt idx="259">
                  <c:v>42.2</c:v>
                </c:pt>
                <c:pt idx="260">
                  <c:v>59.6</c:v>
                </c:pt>
                <c:pt idx="261">
                  <c:v>66.2</c:v>
                </c:pt>
                <c:pt idx="262">
                  <c:v>64.599999999999994</c:v>
                </c:pt>
                <c:pt idx="263">
                  <c:v>42.4</c:v>
                </c:pt>
                <c:pt idx="264">
                  <c:v>47</c:v>
                </c:pt>
                <c:pt idx="265">
                  <c:v>75.7</c:v>
                </c:pt>
                <c:pt idx="266">
                  <c:v>49.2</c:v>
                </c:pt>
                <c:pt idx="267">
                  <c:v>46.8</c:v>
                </c:pt>
                <c:pt idx="268">
                  <c:v>49.5</c:v>
                </c:pt>
                <c:pt idx="269">
                  <c:v>40.6</c:v>
                </c:pt>
                <c:pt idx="270">
                  <c:v>66.900000000000006</c:v>
                </c:pt>
                <c:pt idx="271">
                  <c:v>34.4</c:v>
                </c:pt>
                <c:pt idx="272">
                  <c:v>47.8</c:v>
                </c:pt>
                <c:pt idx="273">
                  <c:v>46.3</c:v>
                </c:pt>
                <c:pt idx="274">
                  <c:v>48.1</c:v>
                </c:pt>
                <c:pt idx="275">
                  <c:v>41.9</c:v>
                </c:pt>
                <c:pt idx="276">
                  <c:v>43.4</c:v>
                </c:pt>
                <c:pt idx="277">
                  <c:v>52.2</c:v>
                </c:pt>
                <c:pt idx="278">
                  <c:v>49.8</c:v>
                </c:pt>
                <c:pt idx="279">
                  <c:v>60.2</c:v>
                </c:pt>
                <c:pt idx="280">
                  <c:v>56.6</c:v>
                </c:pt>
                <c:pt idx="281">
                  <c:v>60.8</c:v>
                </c:pt>
                <c:pt idx="282">
                  <c:v>49.6</c:v>
                </c:pt>
                <c:pt idx="283">
                  <c:v>38.1</c:v>
                </c:pt>
                <c:pt idx="284">
                  <c:v>55.3</c:v>
                </c:pt>
                <c:pt idx="285">
                  <c:v>80.2</c:v>
                </c:pt>
                <c:pt idx="286">
                  <c:v>72.7</c:v>
                </c:pt>
                <c:pt idx="287">
                  <c:v>40.6</c:v>
                </c:pt>
                <c:pt idx="288">
                  <c:v>40.799999999999997</c:v>
                </c:pt>
                <c:pt idx="289">
                  <c:v>43.6</c:v>
                </c:pt>
                <c:pt idx="290">
                  <c:v>63.7</c:v>
                </c:pt>
                <c:pt idx="291">
                  <c:v>88.8</c:v>
                </c:pt>
                <c:pt idx="292">
                  <c:v>54.7</c:v>
                </c:pt>
                <c:pt idx="293">
                  <c:v>40.799999999999997</c:v>
                </c:pt>
                <c:pt idx="294">
                  <c:v>49.5</c:v>
                </c:pt>
                <c:pt idx="295">
                  <c:v>52.5</c:v>
                </c:pt>
                <c:pt idx="296">
                  <c:v>40.5</c:v>
                </c:pt>
                <c:pt idx="297">
                  <c:v>64</c:v>
                </c:pt>
                <c:pt idx="298">
                  <c:v>38.4</c:v>
                </c:pt>
                <c:pt idx="299">
                  <c:v>62.5</c:v>
                </c:pt>
                <c:pt idx="300">
                  <c:v>57.4</c:v>
                </c:pt>
                <c:pt idx="301">
                  <c:v>47.5</c:v>
                </c:pt>
                <c:pt idx="302">
                  <c:v>53.8</c:v>
                </c:pt>
                <c:pt idx="303">
                  <c:v>44.8</c:v>
                </c:pt>
                <c:pt idx="304">
                  <c:v>31.4</c:v>
                </c:pt>
                <c:pt idx="305">
                  <c:v>39.1</c:v>
                </c:pt>
                <c:pt idx="306">
                  <c:v>62.5</c:v>
                </c:pt>
                <c:pt idx="307">
                  <c:v>46.3</c:v>
                </c:pt>
                <c:pt idx="308">
                  <c:v>38.4</c:v>
                </c:pt>
                <c:pt idx="309">
                  <c:v>54.5</c:v>
                </c:pt>
                <c:pt idx="310">
                  <c:v>57.1</c:v>
                </c:pt>
                <c:pt idx="311">
                  <c:v>67.099999999999994</c:v>
                </c:pt>
                <c:pt idx="312">
                  <c:v>67.5</c:v>
                </c:pt>
                <c:pt idx="313">
                  <c:v>58.2</c:v>
                </c:pt>
                <c:pt idx="314">
                  <c:v>58.6</c:v>
                </c:pt>
                <c:pt idx="315">
                  <c:v>61.3</c:v>
                </c:pt>
                <c:pt idx="316">
                  <c:v>43.7</c:v>
                </c:pt>
                <c:pt idx="317">
                  <c:v>23.2</c:v>
                </c:pt>
                <c:pt idx="318">
                  <c:v>34.1</c:v>
                </c:pt>
                <c:pt idx="319">
                  <c:v>39.799999999999997</c:v>
                </c:pt>
                <c:pt idx="320">
                  <c:v>41.1</c:v>
                </c:pt>
                <c:pt idx="321">
                  <c:v>47.3</c:v>
                </c:pt>
                <c:pt idx="322">
                  <c:v>39.700000000000003</c:v>
                </c:pt>
                <c:pt idx="323">
                  <c:v>63</c:v>
                </c:pt>
                <c:pt idx="324">
                  <c:v>84.8</c:v>
                </c:pt>
                <c:pt idx="325">
                  <c:v>46</c:v>
                </c:pt>
                <c:pt idx="326">
                  <c:v>36.9</c:v>
                </c:pt>
                <c:pt idx="327">
                  <c:v>67.8</c:v>
                </c:pt>
                <c:pt idx="328">
                  <c:v>30.2</c:v>
                </c:pt>
                <c:pt idx="329">
                  <c:v>34.799999999999997</c:v>
                </c:pt>
                <c:pt idx="330">
                  <c:v>39.6</c:v>
                </c:pt>
                <c:pt idx="331">
                  <c:v>52.1</c:v>
                </c:pt>
                <c:pt idx="332">
                  <c:v>51.9</c:v>
                </c:pt>
                <c:pt idx="333">
                  <c:v>48.6</c:v>
                </c:pt>
                <c:pt idx="334">
                  <c:v>63.3</c:v>
                </c:pt>
                <c:pt idx="335">
                  <c:v>54.9</c:v>
                </c:pt>
                <c:pt idx="336">
                  <c:v>46.8</c:v>
                </c:pt>
                <c:pt idx="337">
                  <c:v>34.1</c:v>
                </c:pt>
                <c:pt idx="338">
                  <c:v>45</c:v>
                </c:pt>
                <c:pt idx="339">
                  <c:v>72.5</c:v>
                </c:pt>
                <c:pt idx="340">
                  <c:v>56</c:v>
                </c:pt>
                <c:pt idx="341">
                  <c:v>59.1</c:v>
                </c:pt>
                <c:pt idx="342">
                  <c:v>76.5</c:v>
                </c:pt>
                <c:pt idx="343">
                  <c:v>63</c:v>
                </c:pt>
                <c:pt idx="344">
                  <c:v>56.5</c:v>
                </c:pt>
                <c:pt idx="345">
                  <c:v>47.3</c:v>
                </c:pt>
                <c:pt idx="346">
                  <c:v>81</c:v>
                </c:pt>
                <c:pt idx="347">
                  <c:v>33.5</c:v>
                </c:pt>
                <c:pt idx="348">
                  <c:v>50.4</c:v>
                </c:pt>
                <c:pt idx="349">
                  <c:v>43.8</c:v>
                </c:pt>
                <c:pt idx="350">
                  <c:v>49.9</c:v>
                </c:pt>
                <c:pt idx="351">
                  <c:v>32.799999999999997</c:v>
                </c:pt>
                <c:pt idx="352">
                  <c:v>50.4</c:v>
                </c:pt>
                <c:pt idx="353">
                  <c:v>36.5</c:v>
                </c:pt>
                <c:pt idx="354">
                  <c:v>51.2</c:v>
                </c:pt>
                <c:pt idx="355">
                  <c:v>34.4</c:v>
                </c:pt>
                <c:pt idx="356">
                  <c:v>38.799999999999997</c:v>
                </c:pt>
                <c:pt idx="357">
                  <c:v>43.5</c:v>
                </c:pt>
                <c:pt idx="358">
                  <c:v>64.599999999999994</c:v>
                </c:pt>
                <c:pt idx="359">
                  <c:v>47.4</c:v>
                </c:pt>
                <c:pt idx="360">
                  <c:v>57.3</c:v>
                </c:pt>
                <c:pt idx="361">
                  <c:v>63.6</c:v>
                </c:pt>
                <c:pt idx="362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6-4AC2-93A9-C60462FBC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420927"/>
        <c:axId val="390421407"/>
      </c:scatterChart>
      <c:valAx>
        <c:axId val="39042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DM Sans" pitchFamily="2" charset="0"/>
                    <a:ea typeface="+mn-ea"/>
                    <a:cs typeface="+mn-cs"/>
                  </a:defRPr>
                </a:pPr>
                <a:r>
                  <a:rPr lang="en-US"/>
                  <a:t>Exercise Minutes per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DM Sans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M Sans" pitchFamily="2" charset="0"/>
                <a:ea typeface="+mn-ea"/>
                <a:cs typeface="+mn-cs"/>
              </a:defRPr>
            </a:pPr>
            <a:endParaRPr lang="en-US"/>
          </a:p>
        </c:txPr>
        <c:crossAx val="390421407"/>
        <c:crosses val="autoZero"/>
        <c:crossBetween val="midCat"/>
      </c:valAx>
      <c:valAx>
        <c:axId val="39042140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DM Sans" pitchFamily="2" charset="0"/>
                    <a:ea typeface="+mn-ea"/>
                    <a:cs typeface="+mn-cs"/>
                  </a:defRPr>
                </a:pPr>
                <a:r>
                  <a:rPr lang="en-US"/>
                  <a:t>Productivity 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DM Sans" pitchFamily="2" charset="0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M Sans" pitchFamily="2" charset="0"/>
                <a:ea typeface="+mn-ea"/>
                <a:cs typeface="+mn-cs"/>
              </a:defRPr>
            </a:pPr>
            <a:endParaRPr lang="en-US"/>
          </a:p>
        </c:txPr>
        <c:crossAx val="390420927"/>
        <c:crosses val="autoZero"/>
        <c:crossBetween val="midCat"/>
        <c:majorUnit val="10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DM Sans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Dm sans" pitchFamily="2" charset="0"/>
                <a:ea typeface="+mn-ea"/>
                <a:cs typeface="+mn-cs"/>
              </a:defRPr>
            </a:pPr>
            <a:r>
              <a:rPr lang="en-US" sz="1600" b="1">
                <a:latin typeface="Dm sans" pitchFamily="2" charset="0"/>
              </a:rPr>
              <a:t>How</a:t>
            </a:r>
            <a:r>
              <a:rPr lang="en-US" sz="1600" b="1" baseline="0">
                <a:latin typeface="Dm sans" pitchFamily="2" charset="0"/>
              </a:rPr>
              <a:t> Social hours affects Productivity</a:t>
            </a:r>
            <a:endParaRPr lang="en-US" sz="1600" b="1">
              <a:latin typeface="Dm sans" pitchFamily="2" charset="0"/>
            </a:endParaRPr>
          </a:p>
        </c:rich>
      </c:tx>
      <c:layout>
        <c:manualLayout>
          <c:xMode val="edge"/>
          <c:yMode val="edge"/>
          <c:x val="7.4248493763200987E-2"/>
          <c:y val="2.6756762456074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Dm sans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Productivity vs SocialHours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 cmpd="sng">
                <a:solidFill>
                  <a:srgbClr val="0070C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'Productivity vs SocialHours'!$E$2:$E$401</c:f>
              <c:numCache>
                <c:formatCode>General</c:formatCode>
                <c:ptCount val="359"/>
                <c:pt idx="0">
                  <c:v>0.7</c:v>
                </c:pt>
                <c:pt idx="1">
                  <c:v>2.1</c:v>
                </c:pt>
                <c:pt idx="2">
                  <c:v>8</c:v>
                </c:pt>
                <c:pt idx="3">
                  <c:v>5.7</c:v>
                </c:pt>
                <c:pt idx="4">
                  <c:v>10.1</c:v>
                </c:pt>
                <c:pt idx="5">
                  <c:v>10.3</c:v>
                </c:pt>
                <c:pt idx="6">
                  <c:v>4.7</c:v>
                </c:pt>
                <c:pt idx="7">
                  <c:v>18.7</c:v>
                </c:pt>
                <c:pt idx="8">
                  <c:v>10.1</c:v>
                </c:pt>
                <c:pt idx="9">
                  <c:v>12.7</c:v>
                </c:pt>
                <c:pt idx="10">
                  <c:v>6.2</c:v>
                </c:pt>
                <c:pt idx="11">
                  <c:v>12.5</c:v>
                </c:pt>
                <c:pt idx="12">
                  <c:v>11.3</c:v>
                </c:pt>
                <c:pt idx="13">
                  <c:v>8.6</c:v>
                </c:pt>
                <c:pt idx="14">
                  <c:v>2.8</c:v>
                </c:pt>
                <c:pt idx="15">
                  <c:v>13.1</c:v>
                </c:pt>
                <c:pt idx="16">
                  <c:v>11.6</c:v>
                </c:pt>
                <c:pt idx="17">
                  <c:v>11.2</c:v>
                </c:pt>
                <c:pt idx="18">
                  <c:v>1.5</c:v>
                </c:pt>
                <c:pt idx="19">
                  <c:v>2.8</c:v>
                </c:pt>
                <c:pt idx="20">
                  <c:v>13.2</c:v>
                </c:pt>
                <c:pt idx="21">
                  <c:v>8.9</c:v>
                </c:pt>
                <c:pt idx="22">
                  <c:v>17.600000000000001</c:v>
                </c:pt>
                <c:pt idx="23">
                  <c:v>8.5</c:v>
                </c:pt>
                <c:pt idx="24">
                  <c:v>8.6</c:v>
                </c:pt>
                <c:pt idx="25">
                  <c:v>7.4</c:v>
                </c:pt>
                <c:pt idx="26">
                  <c:v>3.5</c:v>
                </c:pt>
                <c:pt idx="27">
                  <c:v>9.1</c:v>
                </c:pt>
                <c:pt idx="28">
                  <c:v>8.9</c:v>
                </c:pt>
                <c:pt idx="29">
                  <c:v>5.0999999999999996</c:v>
                </c:pt>
                <c:pt idx="30">
                  <c:v>0.2</c:v>
                </c:pt>
                <c:pt idx="31">
                  <c:v>11.4</c:v>
                </c:pt>
                <c:pt idx="32">
                  <c:v>4.2</c:v>
                </c:pt>
                <c:pt idx="33">
                  <c:v>14.3</c:v>
                </c:pt>
                <c:pt idx="34">
                  <c:v>15.2</c:v>
                </c:pt>
                <c:pt idx="35">
                  <c:v>7.6</c:v>
                </c:pt>
                <c:pt idx="36">
                  <c:v>5.7</c:v>
                </c:pt>
                <c:pt idx="37">
                  <c:v>19.399999999999999</c:v>
                </c:pt>
                <c:pt idx="38">
                  <c:v>1.1000000000000001</c:v>
                </c:pt>
                <c:pt idx="39">
                  <c:v>17.5</c:v>
                </c:pt>
                <c:pt idx="40">
                  <c:v>3.5</c:v>
                </c:pt>
                <c:pt idx="41">
                  <c:v>8</c:v>
                </c:pt>
                <c:pt idx="42">
                  <c:v>8</c:v>
                </c:pt>
                <c:pt idx="43">
                  <c:v>8.4</c:v>
                </c:pt>
                <c:pt idx="44">
                  <c:v>13.9</c:v>
                </c:pt>
                <c:pt idx="45">
                  <c:v>0.5</c:v>
                </c:pt>
                <c:pt idx="46">
                  <c:v>9.1999999999999993</c:v>
                </c:pt>
                <c:pt idx="47">
                  <c:v>8.1</c:v>
                </c:pt>
                <c:pt idx="48">
                  <c:v>5.4</c:v>
                </c:pt>
                <c:pt idx="49">
                  <c:v>21.6</c:v>
                </c:pt>
                <c:pt idx="50">
                  <c:v>5.4</c:v>
                </c:pt>
                <c:pt idx="51">
                  <c:v>10.199999999999999</c:v>
                </c:pt>
                <c:pt idx="52">
                  <c:v>11.5</c:v>
                </c:pt>
                <c:pt idx="53">
                  <c:v>1</c:v>
                </c:pt>
                <c:pt idx="54">
                  <c:v>18.8</c:v>
                </c:pt>
                <c:pt idx="55">
                  <c:v>6.1</c:v>
                </c:pt>
                <c:pt idx="56">
                  <c:v>5.6</c:v>
                </c:pt>
                <c:pt idx="57">
                  <c:v>7.9</c:v>
                </c:pt>
                <c:pt idx="58">
                  <c:v>2.8</c:v>
                </c:pt>
                <c:pt idx="59">
                  <c:v>7.7</c:v>
                </c:pt>
                <c:pt idx="60">
                  <c:v>7.9</c:v>
                </c:pt>
                <c:pt idx="61">
                  <c:v>2.2000000000000002</c:v>
                </c:pt>
                <c:pt idx="62">
                  <c:v>10</c:v>
                </c:pt>
                <c:pt idx="63">
                  <c:v>11.5</c:v>
                </c:pt>
                <c:pt idx="64">
                  <c:v>17.2</c:v>
                </c:pt>
                <c:pt idx="65">
                  <c:v>4.5</c:v>
                </c:pt>
                <c:pt idx="66">
                  <c:v>12.5</c:v>
                </c:pt>
                <c:pt idx="67">
                  <c:v>5.5</c:v>
                </c:pt>
                <c:pt idx="68">
                  <c:v>15.5</c:v>
                </c:pt>
                <c:pt idx="69">
                  <c:v>12.8</c:v>
                </c:pt>
                <c:pt idx="70">
                  <c:v>9.9</c:v>
                </c:pt>
                <c:pt idx="71">
                  <c:v>6</c:v>
                </c:pt>
                <c:pt idx="72">
                  <c:v>16.600000000000001</c:v>
                </c:pt>
                <c:pt idx="73">
                  <c:v>10.3</c:v>
                </c:pt>
                <c:pt idx="74">
                  <c:v>3.4</c:v>
                </c:pt>
                <c:pt idx="75">
                  <c:v>0.9</c:v>
                </c:pt>
                <c:pt idx="76">
                  <c:v>7.1</c:v>
                </c:pt>
                <c:pt idx="77">
                  <c:v>15.8</c:v>
                </c:pt>
                <c:pt idx="78">
                  <c:v>11.4</c:v>
                </c:pt>
                <c:pt idx="79">
                  <c:v>2.8</c:v>
                </c:pt>
                <c:pt idx="80">
                  <c:v>3.6</c:v>
                </c:pt>
                <c:pt idx="81">
                  <c:v>13.5</c:v>
                </c:pt>
                <c:pt idx="82">
                  <c:v>4.5</c:v>
                </c:pt>
                <c:pt idx="83">
                  <c:v>12</c:v>
                </c:pt>
                <c:pt idx="84">
                  <c:v>5.9</c:v>
                </c:pt>
                <c:pt idx="85">
                  <c:v>16.100000000000001</c:v>
                </c:pt>
                <c:pt idx="86">
                  <c:v>4</c:v>
                </c:pt>
                <c:pt idx="87">
                  <c:v>14.6</c:v>
                </c:pt>
                <c:pt idx="88">
                  <c:v>5.7</c:v>
                </c:pt>
                <c:pt idx="89">
                  <c:v>6.1</c:v>
                </c:pt>
                <c:pt idx="90">
                  <c:v>10.6</c:v>
                </c:pt>
                <c:pt idx="91">
                  <c:v>4.3</c:v>
                </c:pt>
                <c:pt idx="92">
                  <c:v>2.7</c:v>
                </c:pt>
                <c:pt idx="93">
                  <c:v>8.3000000000000007</c:v>
                </c:pt>
                <c:pt idx="94">
                  <c:v>10.9</c:v>
                </c:pt>
                <c:pt idx="95">
                  <c:v>8.1</c:v>
                </c:pt>
                <c:pt idx="96">
                  <c:v>6.6</c:v>
                </c:pt>
                <c:pt idx="97">
                  <c:v>2</c:v>
                </c:pt>
                <c:pt idx="98">
                  <c:v>4.5999999999999996</c:v>
                </c:pt>
                <c:pt idx="99">
                  <c:v>14.9</c:v>
                </c:pt>
                <c:pt idx="100">
                  <c:v>3</c:v>
                </c:pt>
                <c:pt idx="101">
                  <c:v>9.3000000000000007</c:v>
                </c:pt>
                <c:pt idx="102">
                  <c:v>20</c:v>
                </c:pt>
                <c:pt idx="103">
                  <c:v>11.5</c:v>
                </c:pt>
                <c:pt idx="104">
                  <c:v>13.9</c:v>
                </c:pt>
                <c:pt idx="105">
                  <c:v>5.7</c:v>
                </c:pt>
                <c:pt idx="106">
                  <c:v>11.6</c:v>
                </c:pt>
                <c:pt idx="107">
                  <c:v>5.4</c:v>
                </c:pt>
                <c:pt idx="108">
                  <c:v>12.6</c:v>
                </c:pt>
                <c:pt idx="109">
                  <c:v>14.6</c:v>
                </c:pt>
                <c:pt idx="110">
                  <c:v>15.4</c:v>
                </c:pt>
                <c:pt idx="111">
                  <c:v>3.8</c:v>
                </c:pt>
                <c:pt idx="112">
                  <c:v>17</c:v>
                </c:pt>
                <c:pt idx="113">
                  <c:v>10.5</c:v>
                </c:pt>
                <c:pt idx="114">
                  <c:v>16.399999999999999</c:v>
                </c:pt>
                <c:pt idx="115">
                  <c:v>7.9</c:v>
                </c:pt>
                <c:pt idx="116">
                  <c:v>6.6</c:v>
                </c:pt>
                <c:pt idx="117">
                  <c:v>7.6</c:v>
                </c:pt>
                <c:pt idx="118">
                  <c:v>3.2</c:v>
                </c:pt>
                <c:pt idx="119">
                  <c:v>10.8</c:v>
                </c:pt>
                <c:pt idx="120">
                  <c:v>11.1</c:v>
                </c:pt>
                <c:pt idx="121">
                  <c:v>15.9</c:v>
                </c:pt>
                <c:pt idx="122">
                  <c:v>9.6999999999999993</c:v>
                </c:pt>
                <c:pt idx="123">
                  <c:v>5.8</c:v>
                </c:pt>
                <c:pt idx="124">
                  <c:v>18.399999999999999</c:v>
                </c:pt>
                <c:pt idx="125">
                  <c:v>19.100000000000001</c:v>
                </c:pt>
                <c:pt idx="126">
                  <c:v>7.5</c:v>
                </c:pt>
                <c:pt idx="127">
                  <c:v>10.4</c:v>
                </c:pt>
                <c:pt idx="128">
                  <c:v>7.4</c:v>
                </c:pt>
                <c:pt idx="129">
                  <c:v>10</c:v>
                </c:pt>
                <c:pt idx="130">
                  <c:v>10.8</c:v>
                </c:pt>
                <c:pt idx="131">
                  <c:v>10</c:v>
                </c:pt>
                <c:pt idx="132">
                  <c:v>11.2</c:v>
                </c:pt>
                <c:pt idx="133">
                  <c:v>8</c:v>
                </c:pt>
                <c:pt idx="134">
                  <c:v>0.7</c:v>
                </c:pt>
                <c:pt idx="135">
                  <c:v>15.5</c:v>
                </c:pt>
                <c:pt idx="136">
                  <c:v>6.7</c:v>
                </c:pt>
                <c:pt idx="137">
                  <c:v>2.2999999999999998</c:v>
                </c:pt>
                <c:pt idx="138">
                  <c:v>14.3</c:v>
                </c:pt>
                <c:pt idx="139">
                  <c:v>15.1</c:v>
                </c:pt>
                <c:pt idx="140">
                  <c:v>7.3</c:v>
                </c:pt>
                <c:pt idx="141">
                  <c:v>9.9</c:v>
                </c:pt>
                <c:pt idx="142">
                  <c:v>9.1999999999999993</c:v>
                </c:pt>
                <c:pt idx="143">
                  <c:v>17.8</c:v>
                </c:pt>
                <c:pt idx="144">
                  <c:v>4.0999999999999996</c:v>
                </c:pt>
                <c:pt idx="145">
                  <c:v>10.5</c:v>
                </c:pt>
                <c:pt idx="146">
                  <c:v>6.1</c:v>
                </c:pt>
                <c:pt idx="147">
                  <c:v>2.4</c:v>
                </c:pt>
                <c:pt idx="148">
                  <c:v>4.0999999999999996</c:v>
                </c:pt>
                <c:pt idx="149">
                  <c:v>13.7</c:v>
                </c:pt>
                <c:pt idx="150">
                  <c:v>11.8</c:v>
                </c:pt>
                <c:pt idx="151">
                  <c:v>15.4</c:v>
                </c:pt>
                <c:pt idx="152">
                  <c:v>10.1</c:v>
                </c:pt>
                <c:pt idx="153">
                  <c:v>9.4</c:v>
                </c:pt>
                <c:pt idx="154">
                  <c:v>5.5</c:v>
                </c:pt>
                <c:pt idx="155">
                  <c:v>2.6</c:v>
                </c:pt>
                <c:pt idx="156">
                  <c:v>5.2</c:v>
                </c:pt>
                <c:pt idx="157">
                  <c:v>10</c:v>
                </c:pt>
                <c:pt idx="158">
                  <c:v>9.6</c:v>
                </c:pt>
                <c:pt idx="159">
                  <c:v>7.2</c:v>
                </c:pt>
                <c:pt idx="160">
                  <c:v>7.8</c:v>
                </c:pt>
                <c:pt idx="161">
                  <c:v>23.9</c:v>
                </c:pt>
                <c:pt idx="162">
                  <c:v>10.7</c:v>
                </c:pt>
                <c:pt idx="163">
                  <c:v>11.1</c:v>
                </c:pt>
                <c:pt idx="164">
                  <c:v>5.5</c:v>
                </c:pt>
                <c:pt idx="165">
                  <c:v>9.6</c:v>
                </c:pt>
                <c:pt idx="166">
                  <c:v>10.6</c:v>
                </c:pt>
                <c:pt idx="167">
                  <c:v>10.199999999999999</c:v>
                </c:pt>
                <c:pt idx="168">
                  <c:v>1.8</c:v>
                </c:pt>
                <c:pt idx="169">
                  <c:v>7.4</c:v>
                </c:pt>
                <c:pt idx="170">
                  <c:v>7.8</c:v>
                </c:pt>
                <c:pt idx="171">
                  <c:v>12.5</c:v>
                </c:pt>
                <c:pt idx="172">
                  <c:v>3.4</c:v>
                </c:pt>
                <c:pt idx="173">
                  <c:v>15.6</c:v>
                </c:pt>
                <c:pt idx="174">
                  <c:v>9.4</c:v>
                </c:pt>
                <c:pt idx="175">
                  <c:v>10.7</c:v>
                </c:pt>
                <c:pt idx="176">
                  <c:v>16.3</c:v>
                </c:pt>
                <c:pt idx="177">
                  <c:v>2</c:v>
                </c:pt>
                <c:pt idx="178">
                  <c:v>5.8</c:v>
                </c:pt>
                <c:pt idx="179">
                  <c:v>5.6</c:v>
                </c:pt>
                <c:pt idx="180">
                  <c:v>6.9</c:v>
                </c:pt>
                <c:pt idx="181">
                  <c:v>12.2</c:v>
                </c:pt>
                <c:pt idx="182">
                  <c:v>11.9</c:v>
                </c:pt>
                <c:pt idx="183">
                  <c:v>12.8</c:v>
                </c:pt>
                <c:pt idx="184">
                  <c:v>7.4</c:v>
                </c:pt>
                <c:pt idx="185">
                  <c:v>3.1</c:v>
                </c:pt>
                <c:pt idx="186">
                  <c:v>13.1</c:v>
                </c:pt>
                <c:pt idx="187">
                  <c:v>6.4</c:v>
                </c:pt>
                <c:pt idx="188">
                  <c:v>9.5</c:v>
                </c:pt>
                <c:pt idx="189">
                  <c:v>10.4</c:v>
                </c:pt>
                <c:pt idx="190">
                  <c:v>15.9</c:v>
                </c:pt>
                <c:pt idx="191">
                  <c:v>10.199999999999999</c:v>
                </c:pt>
                <c:pt idx="192">
                  <c:v>0.1</c:v>
                </c:pt>
                <c:pt idx="193">
                  <c:v>4.5</c:v>
                </c:pt>
                <c:pt idx="194">
                  <c:v>13.3</c:v>
                </c:pt>
                <c:pt idx="195">
                  <c:v>9</c:v>
                </c:pt>
                <c:pt idx="196">
                  <c:v>4.3</c:v>
                </c:pt>
                <c:pt idx="197">
                  <c:v>4</c:v>
                </c:pt>
                <c:pt idx="198">
                  <c:v>7.4</c:v>
                </c:pt>
                <c:pt idx="199">
                  <c:v>12.1</c:v>
                </c:pt>
                <c:pt idx="200">
                  <c:v>4.0999999999999996</c:v>
                </c:pt>
                <c:pt idx="201">
                  <c:v>15.1</c:v>
                </c:pt>
                <c:pt idx="202">
                  <c:v>6.3</c:v>
                </c:pt>
                <c:pt idx="203">
                  <c:v>8.4</c:v>
                </c:pt>
                <c:pt idx="204">
                  <c:v>17.3</c:v>
                </c:pt>
                <c:pt idx="205">
                  <c:v>9</c:v>
                </c:pt>
                <c:pt idx="206">
                  <c:v>12.6</c:v>
                </c:pt>
                <c:pt idx="207">
                  <c:v>11.1</c:v>
                </c:pt>
                <c:pt idx="208">
                  <c:v>4.7</c:v>
                </c:pt>
                <c:pt idx="209">
                  <c:v>3.1</c:v>
                </c:pt>
                <c:pt idx="210">
                  <c:v>12.2</c:v>
                </c:pt>
                <c:pt idx="211">
                  <c:v>14.2</c:v>
                </c:pt>
                <c:pt idx="212">
                  <c:v>3.1</c:v>
                </c:pt>
                <c:pt idx="213">
                  <c:v>0.7</c:v>
                </c:pt>
                <c:pt idx="214">
                  <c:v>8.1</c:v>
                </c:pt>
                <c:pt idx="215">
                  <c:v>7.3</c:v>
                </c:pt>
                <c:pt idx="216">
                  <c:v>6.3</c:v>
                </c:pt>
                <c:pt idx="217">
                  <c:v>10.9</c:v>
                </c:pt>
                <c:pt idx="218">
                  <c:v>7.3</c:v>
                </c:pt>
                <c:pt idx="219">
                  <c:v>2.4</c:v>
                </c:pt>
                <c:pt idx="220">
                  <c:v>10</c:v>
                </c:pt>
                <c:pt idx="221">
                  <c:v>6.4</c:v>
                </c:pt>
                <c:pt idx="222">
                  <c:v>8.3000000000000007</c:v>
                </c:pt>
                <c:pt idx="223">
                  <c:v>14.5</c:v>
                </c:pt>
                <c:pt idx="224">
                  <c:v>8.6999999999999993</c:v>
                </c:pt>
                <c:pt idx="225">
                  <c:v>11.1</c:v>
                </c:pt>
                <c:pt idx="226">
                  <c:v>6</c:v>
                </c:pt>
                <c:pt idx="227">
                  <c:v>2.5</c:v>
                </c:pt>
                <c:pt idx="228">
                  <c:v>7.2</c:v>
                </c:pt>
                <c:pt idx="229">
                  <c:v>9.9</c:v>
                </c:pt>
                <c:pt idx="230">
                  <c:v>8.4</c:v>
                </c:pt>
                <c:pt idx="231">
                  <c:v>5.0999999999999996</c:v>
                </c:pt>
                <c:pt idx="232">
                  <c:v>10.6</c:v>
                </c:pt>
                <c:pt idx="233">
                  <c:v>13.3</c:v>
                </c:pt>
                <c:pt idx="234">
                  <c:v>5.9</c:v>
                </c:pt>
                <c:pt idx="235">
                  <c:v>5.3</c:v>
                </c:pt>
                <c:pt idx="236">
                  <c:v>11</c:v>
                </c:pt>
                <c:pt idx="237">
                  <c:v>12.1</c:v>
                </c:pt>
                <c:pt idx="238">
                  <c:v>8.3000000000000007</c:v>
                </c:pt>
                <c:pt idx="239">
                  <c:v>10.8</c:v>
                </c:pt>
                <c:pt idx="240">
                  <c:v>8.6</c:v>
                </c:pt>
                <c:pt idx="241">
                  <c:v>8.5</c:v>
                </c:pt>
                <c:pt idx="242">
                  <c:v>7.2</c:v>
                </c:pt>
                <c:pt idx="243">
                  <c:v>9.3000000000000007</c:v>
                </c:pt>
                <c:pt idx="244">
                  <c:v>10.1</c:v>
                </c:pt>
                <c:pt idx="245">
                  <c:v>15.2</c:v>
                </c:pt>
                <c:pt idx="246">
                  <c:v>10.4</c:v>
                </c:pt>
                <c:pt idx="247">
                  <c:v>0.7</c:v>
                </c:pt>
                <c:pt idx="248">
                  <c:v>7.7</c:v>
                </c:pt>
                <c:pt idx="249">
                  <c:v>0.8</c:v>
                </c:pt>
                <c:pt idx="250">
                  <c:v>9.8000000000000007</c:v>
                </c:pt>
                <c:pt idx="251">
                  <c:v>6</c:v>
                </c:pt>
                <c:pt idx="252">
                  <c:v>2.1</c:v>
                </c:pt>
                <c:pt idx="253">
                  <c:v>5.6</c:v>
                </c:pt>
                <c:pt idx="254">
                  <c:v>5.7</c:v>
                </c:pt>
                <c:pt idx="255">
                  <c:v>3.3</c:v>
                </c:pt>
                <c:pt idx="256">
                  <c:v>13.4</c:v>
                </c:pt>
                <c:pt idx="257">
                  <c:v>16.100000000000001</c:v>
                </c:pt>
                <c:pt idx="258">
                  <c:v>5.0999999999999996</c:v>
                </c:pt>
                <c:pt idx="259">
                  <c:v>5.8</c:v>
                </c:pt>
                <c:pt idx="260">
                  <c:v>12.5</c:v>
                </c:pt>
                <c:pt idx="261">
                  <c:v>7.1</c:v>
                </c:pt>
                <c:pt idx="262">
                  <c:v>5.3</c:v>
                </c:pt>
                <c:pt idx="263">
                  <c:v>12.7</c:v>
                </c:pt>
                <c:pt idx="264">
                  <c:v>7.3</c:v>
                </c:pt>
                <c:pt idx="265">
                  <c:v>3.1</c:v>
                </c:pt>
                <c:pt idx="266">
                  <c:v>10.6</c:v>
                </c:pt>
                <c:pt idx="267">
                  <c:v>1.8</c:v>
                </c:pt>
                <c:pt idx="268">
                  <c:v>5.9</c:v>
                </c:pt>
                <c:pt idx="269">
                  <c:v>6.9</c:v>
                </c:pt>
                <c:pt idx="270">
                  <c:v>7.3</c:v>
                </c:pt>
                <c:pt idx="271">
                  <c:v>8.6</c:v>
                </c:pt>
                <c:pt idx="272">
                  <c:v>15.5</c:v>
                </c:pt>
                <c:pt idx="273">
                  <c:v>6.4</c:v>
                </c:pt>
                <c:pt idx="274">
                  <c:v>8.1999999999999993</c:v>
                </c:pt>
                <c:pt idx="275">
                  <c:v>1.9</c:v>
                </c:pt>
                <c:pt idx="276">
                  <c:v>6.5</c:v>
                </c:pt>
                <c:pt idx="277">
                  <c:v>5.5</c:v>
                </c:pt>
                <c:pt idx="278">
                  <c:v>5.6</c:v>
                </c:pt>
                <c:pt idx="279">
                  <c:v>5.7</c:v>
                </c:pt>
                <c:pt idx="280">
                  <c:v>11.4</c:v>
                </c:pt>
                <c:pt idx="281">
                  <c:v>8.1999999999999993</c:v>
                </c:pt>
                <c:pt idx="282">
                  <c:v>7.8</c:v>
                </c:pt>
                <c:pt idx="283">
                  <c:v>16.2</c:v>
                </c:pt>
                <c:pt idx="284">
                  <c:v>9.1999999999999993</c:v>
                </c:pt>
                <c:pt idx="285">
                  <c:v>10.3</c:v>
                </c:pt>
                <c:pt idx="286">
                  <c:v>14.1</c:v>
                </c:pt>
                <c:pt idx="287">
                  <c:v>10.6</c:v>
                </c:pt>
                <c:pt idx="288">
                  <c:v>8.1</c:v>
                </c:pt>
                <c:pt idx="289">
                  <c:v>7.7</c:v>
                </c:pt>
                <c:pt idx="290">
                  <c:v>1.9</c:v>
                </c:pt>
                <c:pt idx="291">
                  <c:v>5.7</c:v>
                </c:pt>
                <c:pt idx="292">
                  <c:v>2</c:v>
                </c:pt>
                <c:pt idx="293">
                  <c:v>7.9</c:v>
                </c:pt>
                <c:pt idx="294">
                  <c:v>3.1</c:v>
                </c:pt>
                <c:pt idx="295">
                  <c:v>5.3</c:v>
                </c:pt>
                <c:pt idx="296">
                  <c:v>10</c:v>
                </c:pt>
                <c:pt idx="297">
                  <c:v>6.6</c:v>
                </c:pt>
                <c:pt idx="298">
                  <c:v>17.5</c:v>
                </c:pt>
                <c:pt idx="299">
                  <c:v>4.4000000000000004</c:v>
                </c:pt>
                <c:pt idx="300">
                  <c:v>9.5</c:v>
                </c:pt>
                <c:pt idx="301">
                  <c:v>6.7</c:v>
                </c:pt>
                <c:pt idx="302">
                  <c:v>6.4</c:v>
                </c:pt>
                <c:pt idx="303">
                  <c:v>8.1</c:v>
                </c:pt>
                <c:pt idx="304">
                  <c:v>4.7</c:v>
                </c:pt>
                <c:pt idx="305">
                  <c:v>10.8</c:v>
                </c:pt>
                <c:pt idx="306">
                  <c:v>1.4</c:v>
                </c:pt>
                <c:pt idx="307">
                  <c:v>4.8</c:v>
                </c:pt>
                <c:pt idx="308">
                  <c:v>7</c:v>
                </c:pt>
                <c:pt idx="309">
                  <c:v>15.3</c:v>
                </c:pt>
                <c:pt idx="310">
                  <c:v>9.6</c:v>
                </c:pt>
                <c:pt idx="311">
                  <c:v>7.5</c:v>
                </c:pt>
                <c:pt idx="312">
                  <c:v>3.5</c:v>
                </c:pt>
                <c:pt idx="313">
                  <c:v>8.1</c:v>
                </c:pt>
                <c:pt idx="314">
                  <c:v>6</c:v>
                </c:pt>
                <c:pt idx="315">
                  <c:v>1.8</c:v>
                </c:pt>
                <c:pt idx="316">
                  <c:v>5.6</c:v>
                </c:pt>
                <c:pt idx="317">
                  <c:v>7.1</c:v>
                </c:pt>
                <c:pt idx="318">
                  <c:v>6.5</c:v>
                </c:pt>
                <c:pt idx="319">
                  <c:v>11.7</c:v>
                </c:pt>
                <c:pt idx="320">
                  <c:v>1.5</c:v>
                </c:pt>
                <c:pt idx="321">
                  <c:v>12.2</c:v>
                </c:pt>
                <c:pt idx="322">
                  <c:v>12.3</c:v>
                </c:pt>
                <c:pt idx="323">
                  <c:v>6.6</c:v>
                </c:pt>
                <c:pt idx="324">
                  <c:v>2.7</c:v>
                </c:pt>
                <c:pt idx="325">
                  <c:v>7.6</c:v>
                </c:pt>
                <c:pt idx="326">
                  <c:v>8.3000000000000007</c:v>
                </c:pt>
                <c:pt idx="327">
                  <c:v>6.7</c:v>
                </c:pt>
                <c:pt idx="328">
                  <c:v>5.7</c:v>
                </c:pt>
                <c:pt idx="329">
                  <c:v>16.399999999999999</c:v>
                </c:pt>
                <c:pt idx="330">
                  <c:v>2</c:v>
                </c:pt>
                <c:pt idx="331">
                  <c:v>9.5</c:v>
                </c:pt>
                <c:pt idx="332">
                  <c:v>13.9</c:v>
                </c:pt>
                <c:pt idx="333">
                  <c:v>7.9</c:v>
                </c:pt>
                <c:pt idx="334">
                  <c:v>1.8</c:v>
                </c:pt>
                <c:pt idx="335">
                  <c:v>5</c:v>
                </c:pt>
                <c:pt idx="336">
                  <c:v>11.1</c:v>
                </c:pt>
                <c:pt idx="337">
                  <c:v>9.4</c:v>
                </c:pt>
                <c:pt idx="338">
                  <c:v>4.5999999999999996</c:v>
                </c:pt>
                <c:pt idx="339">
                  <c:v>9.1999999999999993</c:v>
                </c:pt>
                <c:pt idx="340">
                  <c:v>6.6</c:v>
                </c:pt>
                <c:pt idx="341">
                  <c:v>5.8</c:v>
                </c:pt>
                <c:pt idx="342">
                  <c:v>7.2</c:v>
                </c:pt>
                <c:pt idx="343">
                  <c:v>11.3</c:v>
                </c:pt>
                <c:pt idx="344">
                  <c:v>6.4</c:v>
                </c:pt>
                <c:pt idx="345">
                  <c:v>6.7</c:v>
                </c:pt>
                <c:pt idx="346">
                  <c:v>18.5</c:v>
                </c:pt>
                <c:pt idx="347">
                  <c:v>9.5</c:v>
                </c:pt>
                <c:pt idx="348">
                  <c:v>6.3</c:v>
                </c:pt>
                <c:pt idx="349">
                  <c:v>11.7</c:v>
                </c:pt>
                <c:pt idx="350">
                  <c:v>17.600000000000001</c:v>
                </c:pt>
                <c:pt idx="351">
                  <c:v>9</c:v>
                </c:pt>
                <c:pt idx="352">
                  <c:v>9.4</c:v>
                </c:pt>
                <c:pt idx="353">
                  <c:v>0.7</c:v>
                </c:pt>
                <c:pt idx="354">
                  <c:v>7.6</c:v>
                </c:pt>
                <c:pt idx="355">
                  <c:v>7</c:v>
                </c:pt>
                <c:pt idx="356">
                  <c:v>10.1</c:v>
                </c:pt>
                <c:pt idx="357">
                  <c:v>12.1</c:v>
                </c:pt>
                <c:pt idx="358">
                  <c:v>9.8000000000000007</c:v>
                </c:pt>
              </c:numCache>
            </c:numRef>
          </c:xVal>
          <c:yVal>
            <c:numRef>
              <c:f>'Productivity vs SocialHours'!$D$2:$D$401</c:f>
              <c:numCache>
                <c:formatCode>General</c:formatCode>
                <c:ptCount val="359"/>
                <c:pt idx="0">
                  <c:v>44.7</c:v>
                </c:pt>
                <c:pt idx="1">
                  <c:v>78</c:v>
                </c:pt>
                <c:pt idx="2">
                  <c:v>51.8</c:v>
                </c:pt>
                <c:pt idx="3">
                  <c:v>37</c:v>
                </c:pt>
                <c:pt idx="4">
                  <c:v>38.5</c:v>
                </c:pt>
                <c:pt idx="5">
                  <c:v>44</c:v>
                </c:pt>
                <c:pt idx="6">
                  <c:v>64.8</c:v>
                </c:pt>
                <c:pt idx="7">
                  <c:v>87</c:v>
                </c:pt>
                <c:pt idx="8">
                  <c:v>91.7</c:v>
                </c:pt>
                <c:pt idx="9">
                  <c:v>42.2</c:v>
                </c:pt>
                <c:pt idx="10">
                  <c:v>55.9</c:v>
                </c:pt>
                <c:pt idx="11">
                  <c:v>88.4</c:v>
                </c:pt>
                <c:pt idx="12">
                  <c:v>33</c:v>
                </c:pt>
                <c:pt idx="13">
                  <c:v>70.7</c:v>
                </c:pt>
                <c:pt idx="14">
                  <c:v>37.6</c:v>
                </c:pt>
                <c:pt idx="15">
                  <c:v>60.3</c:v>
                </c:pt>
                <c:pt idx="16">
                  <c:v>49</c:v>
                </c:pt>
                <c:pt idx="17">
                  <c:v>85.1</c:v>
                </c:pt>
                <c:pt idx="18">
                  <c:v>52</c:v>
                </c:pt>
                <c:pt idx="19">
                  <c:v>48.1</c:v>
                </c:pt>
                <c:pt idx="20">
                  <c:v>53.1</c:v>
                </c:pt>
                <c:pt idx="21">
                  <c:v>76.400000000000006</c:v>
                </c:pt>
                <c:pt idx="22">
                  <c:v>77.3</c:v>
                </c:pt>
                <c:pt idx="23">
                  <c:v>50.3</c:v>
                </c:pt>
                <c:pt idx="24">
                  <c:v>51</c:v>
                </c:pt>
                <c:pt idx="25">
                  <c:v>53.3</c:v>
                </c:pt>
                <c:pt idx="26">
                  <c:v>60</c:v>
                </c:pt>
                <c:pt idx="27">
                  <c:v>38</c:v>
                </c:pt>
                <c:pt idx="28">
                  <c:v>52.1</c:v>
                </c:pt>
                <c:pt idx="29">
                  <c:v>42.6</c:v>
                </c:pt>
                <c:pt idx="30">
                  <c:v>60.3</c:v>
                </c:pt>
                <c:pt idx="31">
                  <c:v>57</c:v>
                </c:pt>
                <c:pt idx="32">
                  <c:v>39.6</c:v>
                </c:pt>
                <c:pt idx="33">
                  <c:v>53.6</c:v>
                </c:pt>
                <c:pt idx="34">
                  <c:v>45.7</c:v>
                </c:pt>
                <c:pt idx="35">
                  <c:v>49.8</c:v>
                </c:pt>
                <c:pt idx="36">
                  <c:v>51.6</c:v>
                </c:pt>
                <c:pt idx="37">
                  <c:v>67.400000000000006</c:v>
                </c:pt>
                <c:pt idx="38">
                  <c:v>51.7</c:v>
                </c:pt>
                <c:pt idx="39">
                  <c:v>77.7</c:v>
                </c:pt>
                <c:pt idx="40">
                  <c:v>37.6</c:v>
                </c:pt>
                <c:pt idx="41">
                  <c:v>58.8</c:v>
                </c:pt>
                <c:pt idx="42">
                  <c:v>79.599999999999994</c:v>
                </c:pt>
                <c:pt idx="43">
                  <c:v>49.2</c:v>
                </c:pt>
                <c:pt idx="44">
                  <c:v>34.799999999999997</c:v>
                </c:pt>
                <c:pt idx="45">
                  <c:v>52.8</c:v>
                </c:pt>
                <c:pt idx="46">
                  <c:v>27.1</c:v>
                </c:pt>
                <c:pt idx="47">
                  <c:v>56.8</c:v>
                </c:pt>
                <c:pt idx="48">
                  <c:v>38.5</c:v>
                </c:pt>
                <c:pt idx="49">
                  <c:v>44.9</c:v>
                </c:pt>
                <c:pt idx="50">
                  <c:v>44.8</c:v>
                </c:pt>
                <c:pt idx="51">
                  <c:v>60</c:v>
                </c:pt>
                <c:pt idx="52">
                  <c:v>51.7</c:v>
                </c:pt>
                <c:pt idx="53">
                  <c:v>74</c:v>
                </c:pt>
                <c:pt idx="54">
                  <c:v>81</c:v>
                </c:pt>
                <c:pt idx="55">
                  <c:v>40.299999999999997</c:v>
                </c:pt>
                <c:pt idx="56">
                  <c:v>46.3</c:v>
                </c:pt>
                <c:pt idx="57">
                  <c:v>45.8</c:v>
                </c:pt>
                <c:pt idx="58">
                  <c:v>42.2</c:v>
                </c:pt>
                <c:pt idx="59">
                  <c:v>51.1</c:v>
                </c:pt>
                <c:pt idx="60">
                  <c:v>48.3</c:v>
                </c:pt>
                <c:pt idx="61">
                  <c:v>86.3</c:v>
                </c:pt>
                <c:pt idx="62">
                  <c:v>50.3</c:v>
                </c:pt>
                <c:pt idx="63">
                  <c:v>76.5</c:v>
                </c:pt>
                <c:pt idx="64">
                  <c:v>65.099999999999994</c:v>
                </c:pt>
                <c:pt idx="65">
                  <c:v>59</c:v>
                </c:pt>
                <c:pt idx="66">
                  <c:v>43</c:v>
                </c:pt>
                <c:pt idx="67">
                  <c:v>68.5</c:v>
                </c:pt>
                <c:pt idx="68">
                  <c:v>56</c:v>
                </c:pt>
                <c:pt idx="69">
                  <c:v>74.5</c:v>
                </c:pt>
                <c:pt idx="70">
                  <c:v>51.1</c:v>
                </c:pt>
                <c:pt idx="71">
                  <c:v>60.5</c:v>
                </c:pt>
                <c:pt idx="72">
                  <c:v>88</c:v>
                </c:pt>
                <c:pt idx="73">
                  <c:v>41.5</c:v>
                </c:pt>
                <c:pt idx="74">
                  <c:v>67.7</c:v>
                </c:pt>
                <c:pt idx="75">
                  <c:v>45.5</c:v>
                </c:pt>
                <c:pt idx="76">
                  <c:v>88.3</c:v>
                </c:pt>
                <c:pt idx="77">
                  <c:v>66.3</c:v>
                </c:pt>
                <c:pt idx="78">
                  <c:v>55.9</c:v>
                </c:pt>
                <c:pt idx="79">
                  <c:v>82.3</c:v>
                </c:pt>
                <c:pt idx="80">
                  <c:v>64.400000000000006</c:v>
                </c:pt>
                <c:pt idx="81">
                  <c:v>50.4</c:v>
                </c:pt>
                <c:pt idx="82">
                  <c:v>46.5</c:v>
                </c:pt>
                <c:pt idx="83">
                  <c:v>58.3</c:v>
                </c:pt>
                <c:pt idx="84">
                  <c:v>68.7</c:v>
                </c:pt>
                <c:pt idx="85">
                  <c:v>43.9</c:v>
                </c:pt>
                <c:pt idx="86">
                  <c:v>40.6</c:v>
                </c:pt>
                <c:pt idx="87">
                  <c:v>57.1</c:v>
                </c:pt>
                <c:pt idx="88">
                  <c:v>49.9</c:v>
                </c:pt>
                <c:pt idx="89">
                  <c:v>48.4</c:v>
                </c:pt>
                <c:pt idx="90">
                  <c:v>61.4</c:v>
                </c:pt>
                <c:pt idx="91">
                  <c:v>53.9</c:v>
                </c:pt>
                <c:pt idx="92">
                  <c:v>58.5</c:v>
                </c:pt>
                <c:pt idx="93">
                  <c:v>45.4</c:v>
                </c:pt>
                <c:pt idx="94">
                  <c:v>74.8</c:v>
                </c:pt>
                <c:pt idx="95">
                  <c:v>66.8</c:v>
                </c:pt>
                <c:pt idx="96">
                  <c:v>33.200000000000003</c:v>
                </c:pt>
                <c:pt idx="97">
                  <c:v>68.3</c:v>
                </c:pt>
                <c:pt idx="98">
                  <c:v>36.1</c:v>
                </c:pt>
                <c:pt idx="99">
                  <c:v>36.4</c:v>
                </c:pt>
                <c:pt idx="100">
                  <c:v>26</c:v>
                </c:pt>
                <c:pt idx="101">
                  <c:v>44.8</c:v>
                </c:pt>
                <c:pt idx="102">
                  <c:v>86.8</c:v>
                </c:pt>
                <c:pt idx="103">
                  <c:v>35.9</c:v>
                </c:pt>
                <c:pt idx="104">
                  <c:v>56.7</c:v>
                </c:pt>
                <c:pt idx="105">
                  <c:v>37.299999999999997</c:v>
                </c:pt>
                <c:pt idx="106">
                  <c:v>52.6</c:v>
                </c:pt>
                <c:pt idx="107">
                  <c:v>56.2</c:v>
                </c:pt>
                <c:pt idx="108">
                  <c:v>47.2</c:v>
                </c:pt>
                <c:pt idx="109">
                  <c:v>52.1</c:v>
                </c:pt>
                <c:pt idx="110">
                  <c:v>73</c:v>
                </c:pt>
                <c:pt idx="111">
                  <c:v>80.400000000000006</c:v>
                </c:pt>
                <c:pt idx="112">
                  <c:v>40.9</c:v>
                </c:pt>
                <c:pt idx="113">
                  <c:v>70.8</c:v>
                </c:pt>
                <c:pt idx="114">
                  <c:v>49.3</c:v>
                </c:pt>
                <c:pt idx="115">
                  <c:v>67.400000000000006</c:v>
                </c:pt>
                <c:pt idx="116">
                  <c:v>59.5</c:v>
                </c:pt>
                <c:pt idx="117">
                  <c:v>40.9</c:v>
                </c:pt>
                <c:pt idx="118">
                  <c:v>79</c:v>
                </c:pt>
                <c:pt idx="119">
                  <c:v>60</c:v>
                </c:pt>
                <c:pt idx="120">
                  <c:v>39.4</c:v>
                </c:pt>
                <c:pt idx="121">
                  <c:v>64.099999999999994</c:v>
                </c:pt>
                <c:pt idx="122">
                  <c:v>68.8</c:v>
                </c:pt>
                <c:pt idx="123">
                  <c:v>50.5</c:v>
                </c:pt>
                <c:pt idx="124">
                  <c:v>34.4</c:v>
                </c:pt>
                <c:pt idx="125">
                  <c:v>79.099999999999994</c:v>
                </c:pt>
                <c:pt idx="126">
                  <c:v>56.2</c:v>
                </c:pt>
                <c:pt idx="127">
                  <c:v>41.2</c:v>
                </c:pt>
                <c:pt idx="128">
                  <c:v>73.599999999999994</c:v>
                </c:pt>
                <c:pt idx="129">
                  <c:v>79.599999999999994</c:v>
                </c:pt>
                <c:pt idx="130">
                  <c:v>67.099999999999994</c:v>
                </c:pt>
                <c:pt idx="131">
                  <c:v>54.4</c:v>
                </c:pt>
                <c:pt idx="132">
                  <c:v>36.4</c:v>
                </c:pt>
                <c:pt idx="133">
                  <c:v>64.8</c:v>
                </c:pt>
                <c:pt idx="134">
                  <c:v>45.4</c:v>
                </c:pt>
                <c:pt idx="135">
                  <c:v>37.9</c:v>
                </c:pt>
                <c:pt idx="136">
                  <c:v>51</c:v>
                </c:pt>
                <c:pt idx="137">
                  <c:v>50.4</c:v>
                </c:pt>
                <c:pt idx="138">
                  <c:v>48.5</c:v>
                </c:pt>
                <c:pt idx="139">
                  <c:v>77.900000000000006</c:v>
                </c:pt>
                <c:pt idx="140">
                  <c:v>33.1</c:v>
                </c:pt>
                <c:pt idx="141">
                  <c:v>44.6</c:v>
                </c:pt>
                <c:pt idx="142">
                  <c:v>37.700000000000003</c:v>
                </c:pt>
                <c:pt idx="143">
                  <c:v>58.2</c:v>
                </c:pt>
                <c:pt idx="144">
                  <c:v>55.6</c:v>
                </c:pt>
                <c:pt idx="145">
                  <c:v>45.5</c:v>
                </c:pt>
                <c:pt idx="146">
                  <c:v>52.8</c:v>
                </c:pt>
                <c:pt idx="147">
                  <c:v>43.7</c:v>
                </c:pt>
                <c:pt idx="148">
                  <c:v>43.2</c:v>
                </c:pt>
                <c:pt idx="149">
                  <c:v>70.099999999999994</c:v>
                </c:pt>
                <c:pt idx="150">
                  <c:v>42.6</c:v>
                </c:pt>
                <c:pt idx="151">
                  <c:v>73.2</c:v>
                </c:pt>
                <c:pt idx="152">
                  <c:v>49.6</c:v>
                </c:pt>
                <c:pt idx="153">
                  <c:v>50.3</c:v>
                </c:pt>
                <c:pt idx="154">
                  <c:v>44.2</c:v>
                </c:pt>
                <c:pt idx="155">
                  <c:v>61.2</c:v>
                </c:pt>
                <c:pt idx="156">
                  <c:v>57.9</c:v>
                </c:pt>
                <c:pt idx="157">
                  <c:v>35.5</c:v>
                </c:pt>
                <c:pt idx="158">
                  <c:v>57.4</c:v>
                </c:pt>
                <c:pt idx="159">
                  <c:v>39.299999999999997</c:v>
                </c:pt>
                <c:pt idx="160">
                  <c:v>79.099999999999994</c:v>
                </c:pt>
                <c:pt idx="161">
                  <c:v>36.799999999999997</c:v>
                </c:pt>
                <c:pt idx="162">
                  <c:v>52.8</c:v>
                </c:pt>
                <c:pt idx="163">
                  <c:v>62.4</c:v>
                </c:pt>
                <c:pt idx="164">
                  <c:v>24.6</c:v>
                </c:pt>
                <c:pt idx="165">
                  <c:v>75.599999999999994</c:v>
                </c:pt>
                <c:pt idx="166">
                  <c:v>51.3</c:v>
                </c:pt>
                <c:pt idx="167">
                  <c:v>53.9</c:v>
                </c:pt>
                <c:pt idx="168">
                  <c:v>43.7</c:v>
                </c:pt>
                <c:pt idx="169">
                  <c:v>28.1</c:v>
                </c:pt>
                <c:pt idx="170">
                  <c:v>66.8</c:v>
                </c:pt>
                <c:pt idx="171">
                  <c:v>48.6</c:v>
                </c:pt>
                <c:pt idx="172">
                  <c:v>30.9</c:v>
                </c:pt>
                <c:pt idx="173">
                  <c:v>69.599999999999994</c:v>
                </c:pt>
                <c:pt idx="174">
                  <c:v>41.9</c:v>
                </c:pt>
                <c:pt idx="175">
                  <c:v>45.1</c:v>
                </c:pt>
                <c:pt idx="176">
                  <c:v>50.2</c:v>
                </c:pt>
                <c:pt idx="177">
                  <c:v>54</c:v>
                </c:pt>
                <c:pt idx="178">
                  <c:v>48.3</c:v>
                </c:pt>
                <c:pt idx="179">
                  <c:v>62.7</c:v>
                </c:pt>
                <c:pt idx="180">
                  <c:v>44.7</c:v>
                </c:pt>
                <c:pt idx="181">
                  <c:v>31.8</c:v>
                </c:pt>
                <c:pt idx="182">
                  <c:v>66.7</c:v>
                </c:pt>
                <c:pt idx="183">
                  <c:v>57</c:v>
                </c:pt>
                <c:pt idx="184">
                  <c:v>52.5</c:v>
                </c:pt>
                <c:pt idx="185">
                  <c:v>50.1</c:v>
                </c:pt>
                <c:pt idx="186">
                  <c:v>59.9</c:v>
                </c:pt>
                <c:pt idx="187">
                  <c:v>47.6</c:v>
                </c:pt>
                <c:pt idx="188">
                  <c:v>54.6</c:v>
                </c:pt>
                <c:pt idx="189">
                  <c:v>43.4</c:v>
                </c:pt>
                <c:pt idx="190">
                  <c:v>36.9</c:v>
                </c:pt>
                <c:pt idx="191">
                  <c:v>39.1</c:v>
                </c:pt>
                <c:pt idx="192">
                  <c:v>54.3</c:v>
                </c:pt>
                <c:pt idx="193">
                  <c:v>65.400000000000006</c:v>
                </c:pt>
                <c:pt idx="194">
                  <c:v>54.6</c:v>
                </c:pt>
                <c:pt idx="195">
                  <c:v>40.6</c:v>
                </c:pt>
                <c:pt idx="196">
                  <c:v>45.4</c:v>
                </c:pt>
                <c:pt idx="197">
                  <c:v>32.6</c:v>
                </c:pt>
                <c:pt idx="198">
                  <c:v>38.1</c:v>
                </c:pt>
                <c:pt idx="199">
                  <c:v>57.5</c:v>
                </c:pt>
                <c:pt idx="200">
                  <c:v>70.8</c:v>
                </c:pt>
                <c:pt idx="201">
                  <c:v>46.8</c:v>
                </c:pt>
                <c:pt idx="202">
                  <c:v>64.2</c:v>
                </c:pt>
                <c:pt idx="203">
                  <c:v>46.6</c:v>
                </c:pt>
                <c:pt idx="204">
                  <c:v>56.6</c:v>
                </c:pt>
                <c:pt idx="205">
                  <c:v>72.900000000000006</c:v>
                </c:pt>
                <c:pt idx="206">
                  <c:v>56.6</c:v>
                </c:pt>
                <c:pt idx="207">
                  <c:v>49</c:v>
                </c:pt>
                <c:pt idx="208">
                  <c:v>32.700000000000003</c:v>
                </c:pt>
                <c:pt idx="209">
                  <c:v>36.5</c:v>
                </c:pt>
                <c:pt idx="210">
                  <c:v>58.5</c:v>
                </c:pt>
                <c:pt idx="211">
                  <c:v>60.7</c:v>
                </c:pt>
                <c:pt idx="212">
                  <c:v>58.8</c:v>
                </c:pt>
                <c:pt idx="213">
                  <c:v>44.1</c:v>
                </c:pt>
                <c:pt idx="214">
                  <c:v>42.1</c:v>
                </c:pt>
                <c:pt idx="215">
                  <c:v>55.5</c:v>
                </c:pt>
                <c:pt idx="216">
                  <c:v>46.3</c:v>
                </c:pt>
                <c:pt idx="217">
                  <c:v>48.5</c:v>
                </c:pt>
                <c:pt idx="218">
                  <c:v>49.9</c:v>
                </c:pt>
                <c:pt idx="219">
                  <c:v>60.6</c:v>
                </c:pt>
                <c:pt idx="220">
                  <c:v>82.7</c:v>
                </c:pt>
                <c:pt idx="221">
                  <c:v>47.9</c:v>
                </c:pt>
                <c:pt idx="222">
                  <c:v>72.5</c:v>
                </c:pt>
                <c:pt idx="223">
                  <c:v>43.8</c:v>
                </c:pt>
                <c:pt idx="224">
                  <c:v>59.5</c:v>
                </c:pt>
                <c:pt idx="225">
                  <c:v>51.4</c:v>
                </c:pt>
                <c:pt idx="226">
                  <c:v>41</c:v>
                </c:pt>
                <c:pt idx="227">
                  <c:v>88.9</c:v>
                </c:pt>
                <c:pt idx="228">
                  <c:v>36.5</c:v>
                </c:pt>
                <c:pt idx="229">
                  <c:v>53.2</c:v>
                </c:pt>
                <c:pt idx="230">
                  <c:v>65.599999999999994</c:v>
                </c:pt>
                <c:pt idx="231">
                  <c:v>50.5</c:v>
                </c:pt>
                <c:pt idx="232">
                  <c:v>48.8</c:v>
                </c:pt>
                <c:pt idx="233">
                  <c:v>65.7</c:v>
                </c:pt>
                <c:pt idx="234">
                  <c:v>60.9</c:v>
                </c:pt>
                <c:pt idx="235">
                  <c:v>48.1</c:v>
                </c:pt>
                <c:pt idx="236">
                  <c:v>58.3</c:v>
                </c:pt>
                <c:pt idx="237">
                  <c:v>50.4</c:v>
                </c:pt>
                <c:pt idx="238">
                  <c:v>43.6</c:v>
                </c:pt>
                <c:pt idx="239">
                  <c:v>67.3</c:v>
                </c:pt>
                <c:pt idx="240">
                  <c:v>52.2</c:v>
                </c:pt>
                <c:pt idx="241">
                  <c:v>39.799999999999997</c:v>
                </c:pt>
                <c:pt idx="242">
                  <c:v>56.2</c:v>
                </c:pt>
                <c:pt idx="243">
                  <c:v>64.599999999999994</c:v>
                </c:pt>
                <c:pt idx="244">
                  <c:v>49</c:v>
                </c:pt>
                <c:pt idx="245">
                  <c:v>62.2</c:v>
                </c:pt>
                <c:pt idx="246">
                  <c:v>47.1</c:v>
                </c:pt>
                <c:pt idx="247">
                  <c:v>60.4</c:v>
                </c:pt>
                <c:pt idx="248">
                  <c:v>20.6</c:v>
                </c:pt>
                <c:pt idx="249">
                  <c:v>42.2</c:v>
                </c:pt>
                <c:pt idx="250">
                  <c:v>88.1</c:v>
                </c:pt>
                <c:pt idx="251">
                  <c:v>40.4</c:v>
                </c:pt>
                <c:pt idx="252">
                  <c:v>54</c:v>
                </c:pt>
                <c:pt idx="253">
                  <c:v>41.9</c:v>
                </c:pt>
                <c:pt idx="254">
                  <c:v>70.3</c:v>
                </c:pt>
                <c:pt idx="255">
                  <c:v>51.3</c:v>
                </c:pt>
                <c:pt idx="256">
                  <c:v>75.099999999999994</c:v>
                </c:pt>
                <c:pt idx="257">
                  <c:v>65.599999999999994</c:v>
                </c:pt>
                <c:pt idx="258">
                  <c:v>75.7</c:v>
                </c:pt>
                <c:pt idx="259">
                  <c:v>43.6</c:v>
                </c:pt>
                <c:pt idx="260">
                  <c:v>42.2</c:v>
                </c:pt>
                <c:pt idx="261">
                  <c:v>59.6</c:v>
                </c:pt>
                <c:pt idx="262">
                  <c:v>66.2</c:v>
                </c:pt>
                <c:pt idx="263">
                  <c:v>64.599999999999994</c:v>
                </c:pt>
                <c:pt idx="264">
                  <c:v>42.4</c:v>
                </c:pt>
                <c:pt idx="265">
                  <c:v>47</c:v>
                </c:pt>
                <c:pt idx="266">
                  <c:v>75.7</c:v>
                </c:pt>
                <c:pt idx="267">
                  <c:v>49.2</c:v>
                </c:pt>
                <c:pt idx="268">
                  <c:v>46.8</c:v>
                </c:pt>
                <c:pt idx="269">
                  <c:v>49.5</c:v>
                </c:pt>
                <c:pt idx="270">
                  <c:v>40.6</c:v>
                </c:pt>
                <c:pt idx="271">
                  <c:v>66.900000000000006</c:v>
                </c:pt>
                <c:pt idx="272">
                  <c:v>38.6</c:v>
                </c:pt>
                <c:pt idx="273">
                  <c:v>34.4</c:v>
                </c:pt>
                <c:pt idx="274">
                  <c:v>48.1</c:v>
                </c:pt>
                <c:pt idx="275">
                  <c:v>41.9</c:v>
                </c:pt>
                <c:pt idx="276">
                  <c:v>43.4</c:v>
                </c:pt>
                <c:pt idx="277">
                  <c:v>52.2</c:v>
                </c:pt>
                <c:pt idx="278">
                  <c:v>49.8</c:v>
                </c:pt>
                <c:pt idx="279">
                  <c:v>56.6</c:v>
                </c:pt>
                <c:pt idx="280">
                  <c:v>49.7</c:v>
                </c:pt>
                <c:pt idx="281">
                  <c:v>60.8</c:v>
                </c:pt>
                <c:pt idx="282">
                  <c:v>38.1</c:v>
                </c:pt>
                <c:pt idx="283">
                  <c:v>55.3</c:v>
                </c:pt>
                <c:pt idx="284">
                  <c:v>80.2</c:v>
                </c:pt>
                <c:pt idx="285">
                  <c:v>40.6</c:v>
                </c:pt>
                <c:pt idx="286">
                  <c:v>43.6</c:v>
                </c:pt>
                <c:pt idx="287">
                  <c:v>63.7</c:v>
                </c:pt>
                <c:pt idx="288">
                  <c:v>54.7</c:v>
                </c:pt>
                <c:pt idx="289">
                  <c:v>40.799999999999997</c:v>
                </c:pt>
                <c:pt idx="290">
                  <c:v>49.5</c:v>
                </c:pt>
                <c:pt idx="291">
                  <c:v>52.5</c:v>
                </c:pt>
                <c:pt idx="292">
                  <c:v>84</c:v>
                </c:pt>
                <c:pt idx="293">
                  <c:v>40.5</c:v>
                </c:pt>
                <c:pt idx="294">
                  <c:v>64</c:v>
                </c:pt>
                <c:pt idx="295">
                  <c:v>62.5</c:v>
                </c:pt>
                <c:pt idx="296">
                  <c:v>57.4</c:v>
                </c:pt>
                <c:pt idx="297">
                  <c:v>47.5</c:v>
                </c:pt>
                <c:pt idx="298">
                  <c:v>53.8</c:v>
                </c:pt>
                <c:pt idx="299">
                  <c:v>44.8</c:v>
                </c:pt>
                <c:pt idx="300">
                  <c:v>31.4</c:v>
                </c:pt>
                <c:pt idx="301">
                  <c:v>39.1</c:v>
                </c:pt>
                <c:pt idx="302">
                  <c:v>62.5</c:v>
                </c:pt>
                <c:pt idx="303">
                  <c:v>46.3</c:v>
                </c:pt>
                <c:pt idx="304">
                  <c:v>38.4</c:v>
                </c:pt>
                <c:pt idx="305">
                  <c:v>54.5</c:v>
                </c:pt>
                <c:pt idx="306">
                  <c:v>57.1</c:v>
                </c:pt>
                <c:pt idx="307">
                  <c:v>67.099999999999994</c:v>
                </c:pt>
                <c:pt idx="308">
                  <c:v>67.5</c:v>
                </c:pt>
                <c:pt idx="309">
                  <c:v>58.2</c:v>
                </c:pt>
                <c:pt idx="310">
                  <c:v>58.6</c:v>
                </c:pt>
                <c:pt idx="311">
                  <c:v>61.3</c:v>
                </c:pt>
                <c:pt idx="312">
                  <c:v>58.6</c:v>
                </c:pt>
                <c:pt idx="313">
                  <c:v>43.7</c:v>
                </c:pt>
                <c:pt idx="314">
                  <c:v>23.2</c:v>
                </c:pt>
                <c:pt idx="315">
                  <c:v>34.1</c:v>
                </c:pt>
                <c:pt idx="316">
                  <c:v>39.799999999999997</c:v>
                </c:pt>
                <c:pt idx="317">
                  <c:v>41.1</c:v>
                </c:pt>
                <c:pt idx="318">
                  <c:v>47.3</c:v>
                </c:pt>
                <c:pt idx="319">
                  <c:v>39.700000000000003</c:v>
                </c:pt>
                <c:pt idx="320">
                  <c:v>63</c:v>
                </c:pt>
                <c:pt idx="321">
                  <c:v>84.8</c:v>
                </c:pt>
                <c:pt idx="322">
                  <c:v>46</c:v>
                </c:pt>
                <c:pt idx="323">
                  <c:v>36.9</c:v>
                </c:pt>
                <c:pt idx="324">
                  <c:v>67.8</c:v>
                </c:pt>
                <c:pt idx="325">
                  <c:v>30.2</c:v>
                </c:pt>
                <c:pt idx="326">
                  <c:v>34.799999999999997</c:v>
                </c:pt>
                <c:pt idx="327">
                  <c:v>39.6</c:v>
                </c:pt>
                <c:pt idx="328">
                  <c:v>52.1</c:v>
                </c:pt>
                <c:pt idx="329">
                  <c:v>51.9</c:v>
                </c:pt>
                <c:pt idx="330">
                  <c:v>48.6</c:v>
                </c:pt>
                <c:pt idx="331">
                  <c:v>54.9</c:v>
                </c:pt>
                <c:pt idx="332">
                  <c:v>46.8</c:v>
                </c:pt>
                <c:pt idx="333">
                  <c:v>34.1</c:v>
                </c:pt>
                <c:pt idx="334">
                  <c:v>45</c:v>
                </c:pt>
                <c:pt idx="335">
                  <c:v>72.5</c:v>
                </c:pt>
                <c:pt idx="336">
                  <c:v>56</c:v>
                </c:pt>
                <c:pt idx="337">
                  <c:v>76.5</c:v>
                </c:pt>
                <c:pt idx="338">
                  <c:v>63</c:v>
                </c:pt>
                <c:pt idx="339">
                  <c:v>56.5</c:v>
                </c:pt>
                <c:pt idx="340">
                  <c:v>47.3</c:v>
                </c:pt>
                <c:pt idx="341">
                  <c:v>40.4</c:v>
                </c:pt>
                <c:pt idx="342">
                  <c:v>81</c:v>
                </c:pt>
                <c:pt idx="343">
                  <c:v>33.5</c:v>
                </c:pt>
                <c:pt idx="344">
                  <c:v>50.4</c:v>
                </c:pt>
                <c:pt idx="345">
                  <c:v>43.8</c:v>
                </c:pt>
                <c:pt idx="346">
                  <c:v>49.9</c:v>
                </c:pt>
                <c:pt idx="347">
                  <c:v>32.799999999999997</c:v>
                </c:pt>
                <c:pt idx="348">
                  <c:v>50.4</c:v>
                </c:pt>
                <c:pt idx="349">
                  <c:v>36.5</c:v>
                </c:pt>
                <c:pt idx="350">
                  <c:v>51.2</c:v>
                </c:pt>
                <c:pt idx="351">
                  <c:v>34.4</c:v>
                </c:pt>
                <c:pt idx="352">
                  <c:v>38.799999999999997</c:v>
                </c:pt>
                <c:pt idx="353">
                  <c:v>43.5</c:v>
                </c:pt>
                <c:pt idx="354">
                  <c:v>64.599999999999994</c:v>
                </c:pt>
                <c:pt idx="355">
                  <c:v>47.4</c:v>
                </c:pt>
                <c:pt idx="356">
                  <c:v>57.3</c:v>
                </c:pt>
                <c:pt idx="357">
                  <c:v>63.6</c:v>
                </c:pt>
                <c:pt idx="358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5-4C2C-B36D-1E522AE9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413247"/>
        <c:axId val="390411327"/>
      </c:scatterChart>
      <c:valAx>
        <c:axId val="390413247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DM Sans"/>
                    <a:ea typeface="DM Sans"/>
                    <a:cs typeface="DM Sans"/>
                  </a:defRPr>
                </a:pPr>
                <a:r>
                  <a:rPr lang="en-US"/>
                  <a:t>Social Hours per Week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DM Sans"/>
                  <a:ea typeface="DM Sans"/>
                  <a:cs typeface="DM San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11327"/>
        <c:crosses val="autoZero"/>
        <c:crossBetween val="midCat"/>
      </c:valAx>
      <c:valAx>
        <c:axId val="3904113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DM Sans"/>
                    <a:ea typeface="DM Sans"/>
                    <a:cs typeface="DM Sans"/>
                  </a:defRPr>
                </a:pPr>
                <a:r>
                  <a:rPr lang="en-US"/>
                  <a:t> Productivity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DM Sans"/>
                  <a:ea typeface="DM Sans"/>
                  <a:cs typeface="DM San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1324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A6C9E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Productivity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 i="0" baseline="0">
              <a:solidFill>
                <a:schemeClr val="tx1"/>
              </a:solidFill>
              <a:latin typeface="DM Sans" pitchFamily="2" charset="0"/>
            </a:defRPr>
          </a:pPr>
          <a:r>
            <a:rPr lang="en-US" sz="1600" b="1" i="0" u="none" strike="noStrike" baseline="0">
              <a:solidFill>
                <a:schemeClr val="tx1"/>
              </a:solidFill>
              <a:latin typeface="DM Sans" pitchFamily="2" charset="0"/>
            </a:rPr>
            <a:t>Productivity Distribution</a:t>
          </a:r>
        </a:p>
      </cx:txPr>
    </cx:title>
    <cx:plotArea>
      <cx:plotAreaRegion>
        <cx:series layoutId="boxWhisker" uniqueId="{EE1024DE-0617-46B3-B4B8-A04EB16EBDF9}">
          <cx:tx>
            <cx:txData>
              <cx:f/>
              <cx:v>Productivity</cx:v>
            </cx:txData>
          </cx:tx>
          <cx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</cx:spPr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th-TH" baseline="0">
              <a:solidFill>
                <a:schemeClr val="tx1"/>
              </a:solidFill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aseline="0">
                <a:solidFill>
                  <a:schemeClr val="tx1"/>
                </a:solidFill>
                <a:latin typeface="DM Sans" pitchFamily="2" charset="0"/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DM Sans" pitchFamily="2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Productivity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Productivity</a:t>
          </a:r>
        </a:p>
      </cx:txPr>
    </cx:title>
    <cx:plotArea>
      <cx:plotAreaRegion>
        <cx:series layoutId="clusteredColumn" uniqueId="{E725ACBE-3782-44C6-9717-6735098A49D0}">
          <cx:tx>
            <cx:txData>
              <cx:f>_xlchart.v1.1</cx:f>
              <cx:v>productivity_0_100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27214</xdr:colOff>
      <xdr:row>4</xdr:row>
      <xdr:rowOff>136071</xdr:rowOff>
    </xdr:from>
    <xdr:to>
      <xdr:col>38</xdr:col>
      <xdr:colOff>605972</xdr:colOff>
      <xdr:row>21</xdr:row>
      <xdr:rowOff>108857</xdr:rowOff>
    </xdr:to>
    <xdr:graphicFrame macro="">
      <xdr:nvGraphicFramePr>
        <xdr:cNvPr id="112" name="Chart 2">
          <a:extLst>
            <a:ext uri="{FF2B5EF4-FFF2-40B4-BE49-F238E27FC236}">
              <a16:creationId xmlns:a16="http://schemas.microsoft.com/office/drawing/2014/main" id="{4956D11B-AF84-0127-C2D8-4A24BAF0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151544</xdr:colOff>
      <xdr:row>20</xdr:row>
      <xdr:rowOff>172357</xdr:rowOff>
    </xdr:from>
    <xdr:to>
      <xdr:col>37</xdr:col>
      <xdr:colOff>491670</xdr:colOff>
      <xdr:row>39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1DC438-6043-B138-3C8C-086E70BDE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2</xdr:col>
      <xdr:colOff>522941</xdr:colOff>
      <xdr:row>18</xdr:row>
      <xdr:rowOff>103841</xdr:rowOff>
    </xdr:from>
    <xdr:to>
      <xdr:col>10</xdr:col>
      <xdr:colOff>52294</xdr:colOff>
      <xdr:row>33</xdr:row>
      <xdr:rowOff>157629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F4C15E-CE92-2973-0CDF-FCBD94448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462643</xdr:colOff>
      <xdr:row>37</xdr:row>
      <xdr:rowOff>143328</xdr:rowOff>
    </xdr:from>
    <xdr:to>
      <xdr:col>9</xdr:col>
      <xdr:colOff>9073</xdr:colOff>
      <xdr:row>55</xdr:row>
      <xdr:rowOff>81643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B76D2B-E716-235C-7EE8-BBE0458F50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6493" y="6728278"/>
              <a:ext cx="3165930" cy="314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547746</xdr:colOff>
      <xdr:row>18</xdr:row>
      <xdr:rowOff>78626</xdr:rowOff>
    </xdr:from>
    <xdr:to>
      <xdr:col>15</xdr:col>
      <xdr:colOff>712305</xdr:colOff>
      <xdr:row>36</xdr:row>
      <xdr:rowOff>104913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BE25C-B16A-0EA9-F4E8-87487855D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434066</xdr:colOff>
      <xdr:row>41</xdr:row>
      <xdr:rowOff>37894</xdr:rowOff>
    </xdr:from>
    <xdr:to>
      <xdr:col>16</xdr:col>
      <xdr:colOff>590948</xdr:colOff>
      <xdr:row>61</xdr:row>
      <xdr:rowOff>33600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9FF155-0007-2388-E68D-30F6DC3F4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54</xdr:row>
      <xdr:rowOff>66675</xdr:rowOff>
    </xdr:from>
    <xdr:to>
      <xdr:col>10</xdr:col>
      <xdr:colOff>701675</xdr:colOff>
      <xdr:row>69</xdr:row>
      <xdr:rowOff>136525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B85A4CD-8D89-476F-99B6-CED7E57BE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65087</xdr:colOff>
      <xdr:row>70</xdr:row>
      <xdr:rowOff>114300</xdr:rowOff>
    </xdr:from>
    <xdr:to>
      <xdr:col>10</xdr:col>
      <xdr:colOff>714375</xdr:colOff>
      <xdr:row>86</xdr:row>
      <xdr:rowOff>63500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DAEEA629-F2D5-4E82-B614-FC43BE58F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949325</xdr:colOff>
      <xdr:row>54</xdr:row>
      <xdr:rowOff>47625</xdr:rowOff>
    </xdr:from>
    <xdr:to>
      <xdr:col>18</xdr:col>
      <xdr:colOff>203200</xdr:colOff>
      <xdr:row>69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3">
              <a:extLst>
                <a:ext uri="{FF2B5EF4-FFF2-40B4-BE49-F238E27FC236}">
                  <a16:creationId xmlns:a16="http://schemas.microsoft.com/office/drawing/2014/main" id="{57A1CAFE-6ABF-413F-8177-178589ED57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90475" y="9674225"/>
              <a:ext cx="5076825" cy="274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229584</xdr:colOff>
      <xdr:row>5</xdr:row>
      <xdr:rowOff>12636</xdr:rowOff>
    </xdr:from>
    <xdr:to>
      <xdr:col>41</xdr:col>
      <xdr:colOff>44823</xdr:colOff>
      <xdr:row>25</xdr:row>
      <xdr:rowOff>67235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6D5CE1-FB65-14AA-ABA5-D6CC19EF4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599725</xdr:colOff>
      <xdr:row>2</xdr:row>
      <xdr:rowOff>3661</xdr:rowOff>
    </xdr:from>
    <xdr:to>
      <xdr:col>30</xdr:col>
      <xdr:colOff>175846</xdr:colOff>
      <xdr:row>23</xdr:row>
      <xdr:rowOff>136769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01445AE-2EBD-CA9B-0515-4762CA2F9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ontakorn-DAta-science-projec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able1"/>
      <sheetName val="Processing for ScreenTime and M"/>
    </sheetNames>
    <sheetDataSet>
      <sheetData sheetId="0"/>
      <sheetData sheetId="1">
        <row r="1">
          <cell r="E1" t="str">
            <v>productivity_0_100</v>
          </cell>
        </row>
        <row r="2">
          <cell r="C2">
            <v>5.44</v>
          </cell>
          <cell r="D2">
            <v>5.35</v>
          </cell>
          <cell r="E2">
            <v>44.7</v>
          </cell>
        </row>
        <row r="3">
          <cell r="C3">
            <v>0.37</v>
          </cell>
          <cell r="D3">
            <v>7.03</v>
          </cell>
          <cell r="E3">
            <v>78</v>
          </cell>
        </row>
        <row r="4">
          <cell r="C4">
            <v>1.0900000000000001</v>
          </cell>
          <cell r="D4">
            <v>8.69</v>
          </cell>
          <cell r="E4">
            <v>51.8</v>
          </cell>
        </row>
        <row r="5">
          <cell r="C5">
            <v>0.56000000000000005</v>
          </cell>
          <cell r="D5">
            <v>10.57</v>
          </cell>
          <cell r="E5">
            <v>37</v>
          </cell>
        </row>
        <row r="6">
          <cell r="C6">
            <v>4.09</v>
          </cell>
          <cell r="D6">
            <v>9.1300000000000008</v>
          </cell>
          <cell r="E6">
            <v>38.5</v>
          </cell>
        </row>
        <row r="7">
          <cell r="C7">
            <v>0.53</v>
          </cell>
          <cell r="D7">
            <v>9.3000000000000007</v>
          </cell>
          <cell r="E7">
            <v>44</v>
          </cell>
        </row>
        <row r="8">
          <cell r="C8">
            <v>2.82</v>
          </cell>
          <cell r="D8">
            <v>3.2</v>
          </cell>
          <cell r="E8">
            <v>64.8</v>
          </cell>
        </row>
        <row r="9">
          <cell r="C9">
            <v>0.75</v>
          </cell>
          <cell r="D9">
            <v>5.46</v>
          </cell>
          <cell r="E9">
            <v>87</v>
          </cell>
        </row>
        <row r="10">
          <cell r="C10">
            <v>0.67</v>
          </cell>
          <cell r="D10">
            <v>5.61</v>
          </cell>
          <cell r="E10">
            <v>91.7</v>
          </cell>
        </row>
        <row r="11">
          <cell r="C11">
            <v>0.84</v>
          </cell>
          <cell r="D11">
            <v>8.5299999999999994</v>
          </cell>
          <cell r="E11">
            <v>42.2</v>
          </cell>
        </row>
        <row r="12">
          <cell r="C12">
            <v>3.02</v>
          </cell>
          <cell r="D12">
            <v>6.85</v>
          </cell>
          <cell r="E12">
            <v>55.9</v>
          </cell>
        </row>
        <row r="13">
          <cell r="C13">
            <v>0.25</v>
          </cell>
          <cell r="D13">
            <v>4.71</v>
          </cell>
          <cell r="E13">
            <v>88.4</v>
          </cell>
        </row>
        <row r="14">
          <cell r="C14">
            <v>6.8</v>
          </cell>
          <cell r="D14">
            <v>5.75</v>
          </cell>
          <cell r="E14">
            <v>33</v>
          </cell>
        </row>
        <row r="15">
          <cell r="C15">
            <v>4.33</v>
          </cell>
          <cell r="D15">
            <v>3.53</v>
          </cell>
          <cell r="E15">
            <v>70.7</v>
          </cell>
        </row>
        <row r="16">
          <cell r="C16">
            <v>0.79</v>
          </cell>
          <cell r="D16">
            <v>8.2799999999999994</v>
          </cell>
          <cell r="E16">
            <v>53.2</v>
          </cell>
        </row>
        <row r="17">
          <cell r="C17">
            <v>2.82</v>
          </cell>
          <cell r="D17">
            <v>10.67</v>
          </cell>
          <cell r="E17">
            <v>37.6</v>
          </cell>
        </row>
        <row r="18">
          <cell r="C18">
            <v>0.82</v>
          </cell>
          <cell r="D18">
            <v>8.0399999999999991</v>
          </cell>
          <cell r="E18">
            <v>60.3</v>
          </cell>
        </row>
        <row r="19">
          <cell r="C19">
            <v>0.82</v>
          </cell>
          <cell r="D19">
            <v>6.31</v>
          </cell>
          <cell r="E19">
            <v>49</v>
          </cell>
        </row>
        <row r="20">
          <cell r="C20">
            <v>0.7</v>
          </cell>
          <cell r="D20">
            <v>7.48</v>
          </cell>
          <cell r="E20">
            <v>85.1</v>
          </cell>
        </row>
        <row r="21">
          <cell r="C21">
            <v>5.73</v>
          </cell>
          <cell r="D21">
            <v>4.53</v>
          </cell>
          <cell r="E21">
            <v>52</v>
          </cell>
        </row>
        <row r="22">
          <cell r="C22">
            <v>3.29</v>
          </cell>
          <cell r="D22">
            <v>6.85</v>
          </cell>
          <cell r="E22">
            <v>48.1</v>
          </cell>
        </row>
        <row r="23">
          <cell r="C23">
            <v>2.89</v>
          </cell>
          <cell r="D23">
            <v>4.63</v>
          </cell>
          <cell r="E23">
            <v>53.1</v>
          </cell>
        </row>
        <row r="24">
          <cell r="C24">
            <v>1.65</v>
          </cell>
          <cell r="D24">
            <v>6.02</v>
          </cell>
          <cell r="E24">
            <v>76.400000000000006</v>
          </cell>
        </row>
        <row r="25">
          <cell r="C25">
            <v>2.33</v>
          </cell>
          <cell r="D25">
            <v>3.41</v>
          </cell>
          <cell r="E25">
            <v>77.3</v>
          </cell>
        </row>
        <row r="26">
          <cell r="C26">
            <v>0.45</v>
          </cell>
          <cell r="D26">
            <v>8.48</v>
          </cell>
          <cell r="E26">
            <v>50.3</v>
          </cell>
        </row>
        <row r="27">
          <cell r="C27">
            <v>0.8</v>
          </cell>
          <cell r="D27">
            <v>6.25</v>
          </cell>
          <cell r="E27">
            <v>51</v>
          </cell>
        </row>
        <row r="28">
          <cell r="C28">
            <v>5.17</v>
          </cell>
          <cell r="D28">
            <v>6.13</v>
          </cell>
          <cell r="E28">
            <v>53.3</v>
          </cell>
        </row>
        <row r="29">
          <cell r="C29">
            <v>0.33</v>
          </cell>
          <cell r="D29">
            <v>6.28</v>
          </cell>
          <cell r="E29">
            <v>60</v>
          </cell>
        </row>
        <row r="30">
          <cell r="C30">
            <v>0.73</v>
          </cell>
          <cell r="D30">
            <v>6.7</v>
          </cell>
          <cell r="E30">
            <v>61.1</v>
          </cell>
        </row>
        <row r="31">
          <cell r="C31">
            <v>0.48</v>
          </cell>
          <cell r="D31">
            <v>9.09</v>
          </cell>
          <cell r="E31">
            <v>38</v>
          </cell>
        </row>
        <row r="32">
          <cell r="C32">
            <v>0.78</v>
          </cell>
          <cell r="D32">
            <v>5.59</v>
          </cell>
          <cell r="E32">
            <v>52.1</v>
          </cell>
        </row>
        <row r="33">
          <cell r="C33">
            <v>7.54</v>
          </cell>
          <cell r="D33">
            <v>6.81</v>
          </cell>
          <cell r="E33">
            <v>42.6</v>
          </cell>
        </row>
        <row r="34">
          <cell r="C34">
            <v>1.25</v>
          </cell>
          <cell r="D34">
            <v>5.64</v>
          </cell>
          <cell r="E34">
            <v>60.3</v>
          </cell>
        </row>
        <row r="35">
          <cell r="C35">
            <v>0.56999999999999995</v>
          </cell>
          <cell r="D35">
            <v>10.81</v>
          </cell>
          <cell r="E35">
            <v>57</v>
          </cell>
        </row>
        <row r="36">
          <cell r="C36">
            <v>0.65</v>
          </cell>
          <cell r="D36">
            <v>12.4</v>
          </cell>
          <cell r="E36">
            <v>39.6</v>
          </cell>
        </row>
        <row r="37">
          <cell r="C37">
            <v>3.01</v>
          </cell>
          <cell r="D37">
            <v>4.46</v>
          </cell>
          <cell r="E37">
            <v>53.6</v>
          </cell>
        </row>
        <row r="38">
          <cell r="C38">
            <v>1.89</v>
          </cell>
          <cell r="D38">
            <v>8.0399999999999991</v>
          </cell>
          <cell r="E38">
            <v>45.7</v>
          </cell>
        </row>
        <row r="39">
          <cell r="C39">
            <v>1.25</v>
          </cell>
          <cell r="D39">
            <v>6.83</v>
          </cell>
          <cell r="E39">
            <v>68.099999999999994</v>
          </cell>
        </row>
        <row r="40">
          <cell r="C40">
            <v>0.39</v>
          </cell>
          <cell r="D40">
            <v>7.49</v>
          </cell>
          <cell r="E40">
            <v>49.8</v>
          </cell>
        </row>
        <row r="41">
          <cell r="C41">
            <v>3.92</v>
          </cell>
          <cell r="D41">
            <v>4.8899999999999997</v>
          </cell>
          <cell r="E41">
            <v>51.6</v>
          </cell>
        </row>
        <row r="42">
          <cell r="C42">
            <v>0.36</v>
          </cell>
          <cell r="D42">
            <v>5.29</v>
          </cell>
          <cell r="E42">
            <v>67.400000000000006</v>
          </cell>
        </row>
        <row r="43">
          <cell r="C43">
            <v>0.65</v>
          </cell>
          <cell r="D43">
            <v>8.66</v>
          </cell>
          <cell r="E43">
            <v>51.7</v>
          </cell>
        </row>
        <row r="44">
          <cell r="C44">
            <v>5.52</v>
          </cell>
          <cell r="D44">
            <v>2.2000000000000002</v>
          </cell>
          <cell r="E44">
            <v>77.7</v>
          </cell>
        </row>
        <row r="45">
          <cell r="C45">
            <v>4.6399999999999997</v>
          </cell>
          <cell r="D45">
            <v>7.17</v>
          </cell>
          <cell r="E45">
            <v>37.6</v>
          </cell>
        </row>
        <row r="46">
          <cell r="C46">
            <v>0.74</v>
          </cell>
          <cell r="D46">
            <v>5.97</v>
          </cell>
          <cell r="E46">
            <v>58.8</v>
          </cell>
        </row>
        <row r="47">
          <cell r="C47">
            <v>1.57</v>
          </cell>
          <cell r="D47">
            <v>4.53</v>
          </cell>
          <cell r="E47">
            <v>79.599999999999994</v>
          </cell>
        </row>
        <row r="48">
          <cell r="C48">
            <v>1.45</v>
          </cell>
          <cell r="D48">
            <v>6.01</v>
          </cell>
          <cell r="E48">
            <v>49.2</v>
          </cell>
        </row>
        <row r="49">
          <cell r="C49">
            <v>7.52</v>
          </cell>
          <cell r="D49">
            <v>6.7</v>
          </cell>
          <cell r="E49">
            <v>34.799999999999997</v>
          </cell>
        </row>
        <row r="50">
          <cell r="C50">
            <v>3.77</v>
          </cell>
          <cell r="D50">
            <v>6.16</v>
          </cell>
          <cell r="E50">
            <v>52.8</v>
          </cell>
        </row>
        <row r="51">
          <cell r="C51">
            <v>0.99</v>
          </cell>
          <cell r="D51">
            <v>12.3</v>
          </cell>
          <cell r="E51">
            <v>27.1</v>
          </cell>
        </row>
        <row r="52">
          <cell r="C52">
            <v>0.36</v>
          </cell>
          <cell r="D52">
            <v>6.41</v>
          </cell>
          <cell r="E52">
            <v>56.8</v>
          </cell>
        </row>
        <row r="53">
          <cell r="C53">
            <v>5.59</v>
          </cell>
          <cell r="D53">
            <v>4.66</v>
          </cell>
          <cell r="E53">
            <v>38.5</v>
          </cell>
        </row>
        <row r="54">
          <cell r="C54">
            <v>1.6</v>
          </cell>
          <cell r="D54">
            <v>7.15</v>
          </cell>
          <cell r="E54">
            <v>44.9</v>
          </cell>
        </row>
        <row r="55">
          <cell r="C55">
            <v>0.51</v>
          </cell>
          <cell r="D55">
            <v>9.6199999999999992</v>
          </cell>
          <cell r="E55">
            <v>44.8</v>
          </cell>
        </row>
        <row r="56">
          <cell r="C56">
            <v>2.4</v>
          </cell>
          <cell r="D56">
            <v>7.07</v>
          </cell>
          <cell r="E56">
            <v>60</v>
          </cell>
        </row>
        <row r="57">
          <cell r="C57">
            <v>0.42</v>
          </cell>
          <cell r="D57">
            <v>7.15</v>
          </cell>
          <cell r="E57">
            <v>51.7</v>
          </cell>
        </row>
        <row r="58">
          <cell r="C58">
            <v>0.55000000000000004</v>
          </cell>
          <cell r="D58">
            <v>6.21</v>
          </cell>
          <cell r="E58">
            <v>74</v>
          </cell>
        </row>
        <row r="59">
          <cell r="C59">
            <v>2.5</v>
          </cell>
          <cell r="D59">
            <v>5.32</v>
          </cell>
          <cell r="E59">
            <v>81</v>
          </cell>
        </row>
        <row r="60">
          <cell r="C60">
            <v>1.1000000000000001</v>
          </cell>
          <cell r="D60">
            <v>10.39</v>
          </cell>
          <cell r="E60">
            <v>67.8</v>
          </cell>
        </row>
        <row r="61">
          <cell r="C61">
            <v>1.91</v>
          </cell>
          <cell r="D61">
            <v>6.98</v>
          </cell>
          <cell r="E61">
            <v>40.299999999999997</v>
          </cell>
        </row>
        <row r="62">
          <cell r="C62">
            <v>0.68</v>
          </cell>
          <cell r="D62">
            <v>9.41</v>
          </cell>
          <cell r="E62">
            <v>46.3</v>
          </cell>
        </row>
        <row r="63">
          <cell r="C63">
            <v>2.67</v>
          </cell>
          <cell r="D63">
            <v>6.35</v>
          </cell>
          <cell r="E63">
            <v>45.8</v>
          </cell>
        </row>
        <row r="64">
          <cell r="C64">
            <v>1.46</v>
          </cell>
          <cell r="D64">
            <v>9.6999999999999993</v>
          </cell>
          <cell r="E64">
            <v>42.2</v>
          </cell>
        </row>
        <row r="65">
          <cell r="C65">
            <v>1.65</v>
          </cell>
          <cell r="D65">
            <v>5.65</v>
          </cell>
          <cell r="E65">
            <v>51.1</v>
          </cell>
        </row>
        <row r="66">
          <cell r="C66">
            <v>3.9</v>
          </cell>
          <cell r="D66">
            <v>3.05</v>
          </cell>
          <cell r="E66">
            <v>48.3</v>
          </cell>
        </row>
        <row r="67">
          <cell r="C67">
            <v>2.5</v>
          </cell>
          <cell r="D67">
            <v>3</v>
          </cell>
          <cell r="E67">
            <v>86.3</v>
          </cell>
        </row>
        <row r="68">
          <cell r="C68">
            <v>1.59</v>
          </cell>
          <cell r="D68">
            <v>9.43</v>
          </cell>
          <cell r="E68">
            <v>38</v>
          </cell>
        </row>
        <row r="69">
          <cell r="C69">
            <v>0.94</v>
          </cell>
          <cell r="D69">
            <v>7.53</v>
          </cell>
          <cell r="E69">
            <v>50.3</v>
          </cell>
        </row>
        <row r="70">
          <cell r="C70">
            <v>1.07</v>
          </cell>
          <cell r="D70">
            <v>5.85</v>
          </cell>
          <cell r="E70">
            <v>76.5</v>
          </cell>
        </row>
        <row r="71">
          <cell r="C71">
            <v>0.45</v>
          </cell>
          <cell r="D71">
            <v>7.78</v>
          </cell>
          <cell r="E71">
            <v>65.099999999999994</v>
          </cell>
        </row>
        <row r="72">
          <cell r="C72">
            <v>0.39</v>
          </cell>
          <cell r="D72">
            <v>7.49</v>
          </cell>
          <cell r="E72">
            <v>59</v>
          </cell>
        </row>
        <row r="73">
          <cell r="C73">
            <v>6.68</v>
          </cell>
          <cell r="D73">
            <v>6.76</v>
          </cell>
          <cell r="E73">
            <v>43</v>
          </cell>
        </row>
        <row r="74">
          <cell r="C74">
            <v>0.44</v>
          </cell>
          <cell r="D74">
            <v>4.97</v>
          </cell>
          <cell r="E74">
            <v>68.5</v>
          </cell>
        </row>
        <row r="75">
          <cell r="C75">
            <v>1.6</v>
          </cell>
          <cell r="D75">
            <v>7</v>
          </cell>
          <cell r="E75">
            <v>56</v>
          </cell>
        </row>
        <row r="76">
          <cell r="C76">
            <v>4.07</v>
          </cell>
          <cell r="D76">
            <v>5.0599999999999996</v>
          </cell>
          <cell r="E76">
            <v>74.5</v>
          </cell>
        </row>
        <row r="77">
          <cell r="C77">
            <v>4.57</v>
          </cell>
          <cell r="D77">
            <v>4.6900000000000004</v>
          </cell>
          <cell r="E77">
            <v>51.1</v>
          </cell>
        </row>
        <row r="78">
          <cell r="C78">
            <v>1.82</v>
          </cell>
          <cell r="D78">
            <v>4.79</v>
          </cell>
          <cell r="E78">
            <v>60.5</v>
          </cell>
        </row>
        <row r="79">
          <cell r="C79">
            <v>1.02</v>
          </cell>
          <cell r="D79">
            <v>2.91</v>
          </cell>
          <cell r="E79">
            <v>88</v>
          </cell>
        </row>
        <row r="80">
          <cell r="C80">
            <v>0.88</v>
          </cell>
          <cell r="D80">
            <v>10.87</v>
          </cell>
          <cell r="E80">
            <v>41.5</v>
          </cell>
        </row>
        <row r="81">
          <cell r="C81">
            <v>0.38</v>
          </cell>
          <cell r="D81">
            <v>7.2</v>
          </cell>
          <cell r="E81">
            <v>67.7</v>
          </cell>
        </row>
        <row r="82">
          <cell r="C82">
            <v>1.99</v>
          </cell>
          <cell r="D82">
            <v>7.15</v>
          </cell>
          <cell r="E82">
            <v>45.5</v>
          </cell>
        </row>
        <row r="83">
          <cell r="C83">
            <v>0.45</v>
          </cell>
          <cell r="D83">
            <v>4.99</v>
          </cell>
          <cell r="E83">
            <v>88.3</v>
          </cell>
        </row>
        <row r="84">
          <cell r="C84">
            <v>6.39</v>
          </cell>
          <cell r="D84">
            <v>3.47</v>
          </cell>
          <cell r="E84">
            <v>66.3</v>
          </cell>
        </row>
        <row r="85">
          <cell r="C85">
            <v>1.1000000000000001</v>
          </cell>
          <cell r="D85">
            <v>6.95</v>
          </cell>
          <cell r="E85">
            <v>55.9</v>
          </cell>
        </row>
        <row r="86">
          <cell r="C86">
            <v>3.5</v>
          </cell>
          <cell r="D86">
            <v>3.54</v>
          </cell>
          <cell r="E86">
            <v>82.3</v>
          </cell>
        </row>
        <row r="87">
          <cell r="C87">
            <v>1.72</v>
          </cell>
          <cell r="D87">
            <v>4.5999999999999996</v>
          </cell>
          <cell r="E87">
            <v>64.400000000000006</v>
          </cell>
        </row>
        <row r="88">
          <cell r="C88">
            <v>2.73</v>
          </cell>
          <cell r="D88">
            <v>7.57</v>
          </cell>
          <cell r="E88">
            <v>50.4</v>
          </cell>
        </row>
        <row r="89">
          <cell r="C89">
            <v>2.5299999999999998</v>
          </cell>
          <cell r="D89">
            <v>6.71</v>
          </cell>
          <cell r="E89">
            <v>46.5</v>
          </cell>
        </row>
        <row r="90">
          <cell r="C90">
            <v>1</v>
          </cell>
          <cell r="D90">
            <v>7.29</v>
          </cell>
          <cell r="E90">
            <v>58.3</v>
          </cell>
        </row>
        <row r="91">
          <cell r="C91">
            <v>0.92</v>
          </cell>
          <cell r="D91">
            <v>4.5999999999999996</v>
          </cell>
          <cell r="E91">
            <v>68.7</v>
          </cell>
        </row>
        <row r="92">
          <cell r="C92">
            <v>2.42</v>
          </cell>
          <cell r="D92">
            <v>6.71</v>
          </cell>
          <cell r="E92">
            <v>43.9</v>
          </cell>
        </row>
        <row r="93">
          <cell r="C93">
            <v>2.46</v>
          </cell>
          <cell r="D93">
            <v>7.35</v>
          </cell>
          <cell r="E93">
            <v>40.6</v>
          </cell>
        </row>
        <row r="94">
          <cell r="C94">
            <v>0.96</v>
          </cell>
          <cell r="D94">
            <v>6.79</v>
          </cell>
          <cell r="E94">
            <v>57.1</v>
          </cell>
        </row>
        <row r="95">
          <cell r="C95">
            <v>0.62</v>
          </cell>
          <cell r="D95">
            <v>6.43</v>
          </cell>
          <cell r="E95">
            <v>49.9</v>
          </cell>
        </row>
        <row r="96">
          <cell r="C96">
            <v>1.01</v>
          </cell>
          <cell r="D96">
            <v>9.16</v>
          </cell>
          <cell r="E96">
            <v>51.5</v>
          </cell>
        </row>
        <row r="97">
          <cell r="C97">
            <v>2.93</v>
          </cell>
          <cell r="D97">
            <v>5.01</v>
          </cell>
          <cell r="E97">
            <v>53.5</v>
          </cell>
        </row>
        <row r="98">
          <cell r="C98">
            <v>3.64</v>
          </cell>
          <cell r="D98">
            <v>5.94</v>
          </cell>
          <cell r="E98">
            <v>48.4</v>
          </cell>
        </row>
        <row r="99">
          <cell r="C99">
            <v>0.67</v>
          </cell>
          <cell r="D99">
            <v>3.02</v>
          </cell>
          <cell r="E99">
            <v>61.4</v>
          </cell>
        </row>
        <row r="100">
          <cell r="C100">
            <v>0.38</v>
          </cell>
          <cell r="D100">
            <v>7.2</v>
          </cell>
          <cell r="E100">
            <v>53.9</v>
          </cell>
        </row>
        <row r="101">
          <cell r="C101">
            <v>5.22</v>
          </cell>
          <cell r="D101">
            <v>4.5999999999999996</v>
          </cell>
          <cell r="E101">
            <v>58.5</v>
          </cell>
        </row>
        <row r="102">
          <cell r="C102">
            <v>0.43</v>
          </cell>
          <cell r="D102">
            <v>8.1</v>
          </cell>
          <cell r="E102">
            <v>45.4</v>
          </cell>
        </row>
        <row r="103">
          <cell r="C103">
            <v>0.61</v>
          </cell>
          <cell r="D103">
            <v>6.71</v>
          </cell>
          <cell r="E103">
            <v>74.8</v>
          </cell>
        </row>
        <row r="104">
          <cell r="C104">
            <v>0.48</v>
          </cell>
          <cell r="D104">
            <v>3.82</v>
          </cell>
          <cell r="E104">
            <v>66.8</v>
          </cell>
        </row>
        <row r="105">
          <cell r="C105">
            <v>6.79</v>
          </cell>
          <cell r="D105">
            <v>5.72</v>
          </cell>
          <cell r="E105">
            <v>33.200000000000003</v>
          </cell>
        </row>
        <row r="106">
          <cell r="C106">
            <v>0.62</v>
          </cell>
          <cell r="D106">
            <v>4.2699999999999996</v>
          </cell>
          <cell r="E106">
            <v>68.3</v>
          </cell>
        </row>
        <row r="107">
          <cell r="C107">
            <v>4.95</v>
          </cell>
          <cell r="D107">
            <v>6.15</v>
          </cell>
          <cell r="E107">
            <v>36.1</v>
          </cell>
        </row>
        <row r="108">
          <cell r="C108">
            <v>0.57999999999999996</v>
          </cell>
          <cell r="D108">
            <v>10.26</v>
          </cell>
          <cell r="E108">
            <v>36.4</v>
          </cell>
        </row>
        <row r="109">
          <cell r="C109">
            <v>5.84</v>
          </cell>
          <cell r="D109">
            <v>8.06</v>
          </cell>
          <cell r="E109">
            <v>26</v>
          </cell>
        </row>
        <row r="110">
          <cell r="C110">
            <v>2.66</v>
          </cell>
          <cell r="D110">
            <v>9.39</v>
          </cell>
          <cell r="E110">
            <v>44.8</v>
          </cell>
        </row>
        <row r="111">
          <cell r="C111">
            <v>0.35</v>
          </cell>
          <cell r="D111">
            <v>5.99</v>
          </cell>
          <cell r="E111">
            <v>86.8</v>
          </cell>
        </row>
        <row r="112">
          <cell r="C112">
            <v>0.85</v>
          </cell>
          <cell r="D112">
            <v>10.19</v>
          </cell>
          <cell r="E112">
            <v>42.3</v>
          </cell>
        </row>
        <row r="113">
          <cell r="C113">
            <v>5.16</v>
          </cell>
          <cell r="D113">
            <v>6.03</v>
          </cell>
          <cell r="E113">
            <v>35.9</v>
          </cell>
        </row>
        <row r="114">
          <cell r="C114">
            <v>0.5</v>
          </cell>
          <cell r="D114">
            <v>9.5500000000000007</v>
          </cell>
          <cell r="E114">
            <v>56.7</v>
          </cell>
        </row>
        <row r="115">
          <cell r="C115">
            <v>0.6</v>
          </cell>
          <cell r="D115">
            <v>11.34</v>
          </cell>
          <cell r="E115">
            <v>37.299999999999997</v>
          </cell>
        </row>
        <row r="116">
          <cell r="C116">
            <v>4.17</v>
          </cell>
          <cell r="D116">
            <v>3.63</v>
          </cell>
          <cell r="E116">
            <v>52.6</v>
          </cell>
        </row>
        <row r="117">
          <cell r="C117">
            <v>2.25</v>
          </cell>
          <cell r="D117">
            <v>8.98</v>
          </cell>
          <cell r="E117">
            <v>55.1</v>
          </cell>
        </row>
        <row r="118">
          <cell r="C118">
            <v>1.4</v>
          </cell>
          <cell r="D118">
            <v>7.3</v>
          </cell>
          <cell r="E118">
            <v>56.2</v>
          </cell>
        </row>
        <row r="119">
          <cell r="C119">
            <v>4.82</v>
          </cell>
          <cell r="D119">
            <v>5.3</v>
          </cell>
          <cell r="E119">
            <v>47.2</v>
          </cell>
        </row>
        <row r="120">
          <cell r="C120">
            <v>2.11</v>
          </cell>
          <cell r="D120">
            <v>7.93</v>
          </cell>
          <cell r="E120">
            <v>52.1</v>
          </cell>
        </row>
        <row r="121">
          <cell r="C121">
            <v>0.32</v>
          </cell>
          <cell r="D121">
            <v>6.1</v>
          </cell>
          <cell r="E121">
            <v>73</v>
          </cell>
        </row>
        <row r="122">
          <cell r="C122">
            <v>2.08</v>
          </cell>
          <cell r="D122">
            <v>7.5</v>
          </cell>
          <cell r="E122">
            <v>80.400000000000006</v>
          </cell>
        </row>
        <row r="123">
          <cell r="C123">
            <v>1.17</v>
          </cell>
          <cell r="D123">
            <v>6.6</v>
          </cell>
          <cell r="E123">
            <v>40.9</v>
          </cell>
        </row>
        <row r="124">
          <cell r="C124">
            <v>1.44</v>
          </cell>
          <cell r="D124">
            <v>6.41</v>
          </cell>
          <cell r="E124">
            <v>70.8</v>
          </cell>
        </row>
        <row r="125">
          <cell r="C125">
            <v>0.3</v>
          </cell>
          <cell r="D125">
            <v>5.7</v>
          </cell>
          <cell r="E125">
            <v>49.3</v>
          </cell>
        </row>
        <row r="126">
          <cell r="C126">
            <v>0.73</v>
          </cell>
          <cell r="D126">
            <v>8.5</v>
          </cell>
          <cell r="E126">
            <v>67.400000000000006</v>
          </cell>
        </row>
        <row r="127">
          <cell r="C127">
            <v>1.99</v>
          </cell>
          <cell r="D127">
            <v>9.2799999999999994</v>
          </cell>
          <cell r="E127">
            <v>59.5</v>
          </cell>
        </row>
        <row r="128">
          <cell r="C128">
            <v>5.35</v>
          </cell>
          <cell r="D128">
            <v>3.7</v>
          </cell>
          <cell r="E128">
            <v>40.9</v>
          </cell>
        </row>
        <row r="129">
          <cell r="C129">
            <v>0.75</v>
          </cell>
          <cell r="D129">
            <v>7.32</v>
          </cell>
          <cell r="E129">
            <v>56.7</v>
          </cell>
        </row>
        <row r="130">
          <cell r="C130">
            <v>1.1599999999999999</v>
          </cell>
          <cell r="D130">
            <v>4.3600000000000003</v>
          </cell>
          <cell r="E130">
            <v>79</v>
          </cell>
        </row>
        <row r="131">
          <cell r="C131">
            <v>0.96</v>
          </cell>
          <cell r="D131">
            <v>9.31</v>
          </cell>
          <cell r="E131">
            <v>60</v>
          </cell>
        </row>
        <row r="132">
          <cell r="C132">
            <v>4.62</v>
          </cell>
          <cell r="D132">
            <v>4.97</v>
          </cell>
          <cell r="E132">
            <v>56.1</v>
          </cell>
        </row>
        <row r="133">
          <cell r="C133">
            <v>2.56</v>
          </cell>
          <cell r="D133">
            <v>9.6300000000000008</v>
          </cell>
          <cell r="E133">
            <v>39.4</v>
          </cell>
        </row>
        <row r="134">
          <cell r="C134">
            <v>3.86</v>
          </cell>
          <cell r="D134">
            <v>2.23</v>
          </cell>
          <cell r="E134">
            <v>64.099999999999994</v>
          </cell>
        </row>
        <row r="135">
          <cell r="C135">
            <v>0.31</v>
          </cell>
          <cell r="D135">
            <v>5.56</v>
          </cell>
          <cell r="E135">
            <v>68.8</v>
          </cell>
        </row>
        <row r="136">
          <cell r="C136">
            <v>3.25</v>
          </cell>
          <cell r="D136">
            <v>6.4</v>
          </cell>
          <cell r="E136">
            <v>50.5</v>
          </cell>
        </row>
        <row r="137">
          <cell r="C137">
            <v>1.44</v>
          </cell>
          <cell r="D137">
            <v>7.69</v>
          </cell>
          <cell r="E137">
            <v>34.4</v>
          </cell>
        </row>
        <row r="138">
          <cell r="C138">
            <v>1.21</v>
          </cell>
          <cell r="D138">
            <v>3.86</v>
          </cell>
          <cell r="E138">
            <v>79.099999999999994</v>
          </cell>
        </row>
        <row r="139">
          <cell r="C139">
            <v>1.22</v>
          </cell>
          <cell r="D139">
            <v>6.92</v>
          </cell>
          <cell r="E139">
            <v>56.2</v>
          </cell>
        </row>
        <row r="140">
          <cell r="C140">
            <v>1.91</v>
          </cell>
          <cell r="D140">
            <v>9.94</v>
          </cell>
          <cell r="E140">
            <v>41.2</v>
          </cell>
        </row>
        <row r="141">
          <cell r="C141">
            <v>1.58</v>
          </cell>
          <cell r="D141">
            <v>8.81</v>
          </cell>
          <cell r="E141">
            <v>73.599999999999994</v>
          </cell>
        </row>
        <row r="142">
          <cell r="C142">
            <v>0.78</v>
          </cell>
          <cell r="D142">
            <v>2.98</v>
          </cell>
          <cell r="E142">
            <v>79.599999999999994</v>
          </cell>
        </row>
        <row r="143">
          <cell r="C143">
            <v>0.34</v>
          </cell>
          <cell r="D143">
            <v>5.56</v>
          </cell>
          <cell r="E143">
            <v>67.099999999999994</v>
          </cell>
        </row>
        <row r="144">
          <cell r="C144">
            <v>1.86</v>
          </cell>
          <cell r="D144">
            <v>6.9</v>
          </cell>
          <cell r="E144">
            <v>54.4</v>
          </cell>
        </row>
        <row r="145">
          <cell r="C145">
            <v>1.91</v>
          </cell>
          <cell r="D145">
            <v>10.27</v>
          </cell>
          <cell r="E145">
            <v>36.4</v>
          </cell>
        </row>
        <row r="146">
          <cell r="C146">
            <v>4.17</v>
          </cell>
          <cell r="D146">
            <v>4.53</v>
          </cell>
          <cell r="E146">
            <v>44.2</v>
          </cell>
        </row>
        <row r="147">
          <cell r="C147">
            <v>1.47</v>
          </cell>
          <cell r="D147">
            <v>5.71</v>
          </cell>
          <cell r="E147">
            <v>64.8</v>
          </cell>
        </row>
        <row r="148">
          <cell r="C148">
            <v>0.93</v>
          </cell>
          <cell r="D148">
            <v>8.18</v>
          </cell>
          <cell r="E148">
            <v>45.4</v>
          </cell>
        </row>
        <row r="149">
          <cell r="C149">
            <v>0.37</v>
          </cell>
          <cell r="D149">
            <v>7.1</v>
          </cell>
          <cell r="E149">
            <v>37.9</v>
          </cell>
        </row>
        <row r="150">
          <cell r="C150">
            <v>1.93</v>
          </cell>
          <cell r="D150">
            <v>7.04</v>
          </cell>
          <cell r="E150">
            <v>51</v>
          </cell>
        </row>
        <row r="151">
          <cell r="C151">
            <v>0.7</v>
          </cell>
          <cell r="D151">
            <v>7.28</v>
          </cell>
          <cell r="E151">
            <v>50.4</v>
          </cell>
        </row>
        <row r="152">
          <cell r="C152">
            <v>1.48</v>
          </cell>
          <cell r="D152">
            <v>5.74</v>
          </cell>
          <cell r="E152">
            <v>48.5</v>
          </cell>
        </row>
        <row r="153">
          <cell r="C153">
            <v>1.04</v>
          </cell>
          <cell r="D153">
            <v>6.12</v>
          </cell>
          <cell r="E153">
            <v>77.900000000000006</v>
          </cell>
        </row>
        <row r="154">
          <cell r="C154">
            <v>0.48</v>
          </cell>
          <cell r="D154">
            <v>9.0399999999999991</v>
          </cell>
          <cell r="E154">
            <v>44.6</v>
          </cell>
        </row>
        <row r="155">
          <cell r="C155">
            <v>3.06</v>
          </cell>
          <cell r="D155">
            <v>9.33</v>
          </cell>
          <cell r="E155">
            <v>37.700000000000003</v>
          </cell>
        </row>
        <row r="156">
          <cell r="C156">
            <v>4.08</v>
          </cell>
          <cell r="D156">
            <v>4.72</v>
          </cell>
          <cell r="E156">
            <v>58.2</v>
          </cell>
        </row>
        <row r="157">
          <cell r="C157">
            <v>0.51</v>
          </cell>
          <cell r="D157">
            <v>8.48</v>
          </cell>
          <cell r="E157">
            <v>55.6</v>
          </cell>
        </row>
        <row r="158">
          <cell r="C158">
            <v>1.1599999999999999</v>
          </cell>
          <cell r="D158">
            <v>8.5299999999999994</v>
          </cell>
          <cell r="E158">
            <v>45.5</v>
          </cell>
        </row>
        <row r="159">
          <cell r="C159">
            <v>0.49</v>
          </cell>
          <cell r="D159">
            <v>9.26</v>
          </cell>
          <cell r="E159">
            <v>52.8</v>
          </cell>
        </row>
        <row r="160">
          <cell r="C160">
            <v>6.76</v>
          </cell>
          <cell r="D160">
            <v>5.91</v>
          </cell>
          <cell r="E160">
            <v>43.7</v>
          </cell>
        </row>
        <row r="161">
          <cell r="C161">
            <v>6.27</v>
          </cell>
          <cell r="D161">
            <v>5.79</v>
          </cell>
          <cell r="E161">
            <v>43.2</v>
          </cell>
        </row>
        <row r="162">
          <cell r="C162">
            <v>3.89</v>
          </cell>
          <cell r="D162">
            <v>3.75</v>
          </cell>
          <cell r="E162">
            <v>70.099999999999994</v>
          </cell>
        </row>
        <row r="163">
          <cell r="C163">
            <v>1.07</v>
          </cell>
          <cell r="D163">
            <v>9.19</v>
          </cell>
          <cell r="E163">
            <v>42.6</v>
          </cell>
        </row>
        <row r="164">
          <cell r="C164">
            <v>1.06</v>
          </cell>
          <cell r="D164">
            <v>4.51</v>
          </cell>
          <cell r="E164">
            <v>73.2</v>
          </cell>
        </row>
        <row r="165">
          <cell r="C165">
            <v>2.99</v>
          </cell>
          <cell r="D165">
            <v>5.33</v>
          </cell>
          <cell r="E165">
            <v>49.6</v>
          </cell>
        </row>
        <row r="166">
          <cell r="C166">
            <v>1.0900000000000001</v>
          </cell>
          <cell r="D166">
            <v>9.5399999999999991</v>
          </cell>
          <cell r="E166">
            <v>50.3</v>
          </cell>
        </row>
        <row r="167">
          <cell r="C167">
            <v>1.18</v>
          </cell>
          <cell r="D167">
            <v>9.91</v>
          </cell>
          <cell r="E167">
            <v>44.2</v>
          </cell>
        </row>
        <row r="168">
          <cell r="C168">
            <v>0.33</v>
          </cell>
          <cell r="D168">
            <v>6.22</v>
          </cell>
          <cell r="E168">
            <v>61.2</v>
          </cell>
        </row>
        <row r="169">
          <cell r="C169">
            <v>4.76</v>
          </cell>
          <cell r="D169">
            <v>5.57</v>
          </cell>
          <cell r="E169">
            <v>57.9</v>
          </cell>
        </row>
        <row r="170">
          <cell r="C170">
            <v>1.34</v>
          </cell>
          <cell r="D170">
            <v>8.64</v>
          </cell>
          <cell r="E170">
            <v>35.5</v>
          </cell>
        </row>
        <row r="171">
          <cell r="C171">
            <v>0.4</v>
          </cell>
          <cell r="D171">
            <v>7.59</v>
          </cell>
          <cell r="E171">
            <v>57.4</v>
          </cell>
        </row>
        <row r="172">
          <cell r="C172">
            <v>3.89</v>
          </cell>
          <cell r="D172">
            <v>7.33</v>
          </cell>
          <cell r="E172">
            <v>39.299999999999997</v>
          </cell>
        </row>
        <row r="173">
          <cell r="C173">
            <v>0.21</v>
          </cell>
          <cell r="D173">
            <v>3.89</v>
          </cell>
          <cell r="E173">
            <v>79.099999999999994</v>
          </cell>
        </row>
        <row r="174">
          <cell r="C174">
            <v>5.65</v>
          </cell>
          <cell r="D174">
            <v>4.83</v>
          </cell>
          <cell r="E174">
            <v>36.799999999999997</v>
          </cell>
        </row>
        <row r="175">
          <cell r="C175">
            <v>1.57</v>
          </cell>
          <cell r="D175">
            <v>7</v>
          </cell>
          <cell r="E175">
            <v>52.8</v>
          </cell>
        </row>
        <row r="176">
          <cell r="C176">
            <v>2.48</v>
          </cell>
          <cell r="D176">
            <v>5.68</v>
          </cell>
          <cell r="E176">
            <v>62.4</v>
          </cell>
        </row>
        <row r="177">
          <cell r="C177">
            <v>0.56999999999999995</v>
          </cell>
          <cell r="D177">
            <v>3.99</v>
          </cell>
          <cell r="E177">
            <v>75.599999999999994</v>
          </cell>
        </row>
        <row r="178">
          <cell r="C178">
            <v>1.74</v>
          </cell>
          <cell r="D178">
            <v>8.14</v>
          </cell>
          <cell r="E178">
            <v>51.3</v>
          </cell>
        </row>
        <row r="179">
          <cell r="C179">
            <v>0.94</v>
          </cell>
          <cell r="D179">
            <v>6.41</v>
          </cell>
          <cell r="E179">
            <v>53.9</v>
          </cell>
        </row>
        <row r="180">
          <cell r="C180">
            <v>0.5</v>
          </cell>
          <cell r="D180">
            <v>6.42</v>
          </cell>
          <cell r="E180">
            <v>79</v>
          </cell>
        </row>
        <row r="181">
          <cell r="C181">
            <v>0.35</v>
          </cell>
          <cell r="D181">
            <v>6.7</v>
          </cell>
          <cell r="E181">
            <v>59.1</v>
          </cell>
        </row>
        <row r="182">
          <cell r="C182">
            <v>2.5099999999999998</v>
          </cell>
          <cell r="D182">
            <v>10.41</v>
          </cell>
          <cell r="E182">
            <v>43.7</v>
          </cell>
        </row>
        <row r="183">
          <cell r="C183">
            <v>2.88</v>
          </cell>
          <cell r="D183">
            <v>8.18</v>
          </cell>
          <cell r="E183">
            <v>28.1</v>
          </cell>
        </row>
        <row r="184">
          <cell r="C184">
            <v>6.43</v>
          </cell>
          <cell r="D184">
            <v>4.32</v>
          </cell>
          <cell r="E184">
            <v>66.8</v>
          </cell>
        </row>
        <row r="185">
          <cell r="C185">
            <v>6.71</v>
          </cell>
          <cell r="D185">
            <v>5.56</v>
          </cell>
          <cell r="E185">
            <v>48.6</v>
          </cell>
        </row>
        <row r="186">
          <cell r="C186">
            <v>2.0299999999999998</v>
          </cell>
          <cell r="D186">
            <v>11.48</v>
          </cell>
          <cell r="E186">
            <v>36</v>
          </cell>
        </row>
        <row r="187">
          <cell r="C187">
            <v>0.84</v>
          </cell>
          <cell r="D187">
            <v>9.35</v>
          </cell>
          <cell r="E187">
            <v>30.9</v>
          </cell>
        </row>
        <row r="188">
          <cell r="C188">
            <v>0.71</v>
          </cell>
          <cell r="D188">
            <v>6.31</v>
          </cell>
          <cell r="E188">
            <v>69.599999999999994</v>
          </cell>
        </row>
        <row r="189">
          <cell r="C189">
            <v>2.2400000000000002</v>
          </cell>
          <cell r="D189">
            <v>5.0999999999999996</v>
          </cell>
          <cell r="E189">
            <v>41.9</v>
          </cell>
        </row>
        <row r="190">
          <cell r="C190">
            <v>0.54</v>
          </cell>
          <cell r="D190">
            <v>9.86</v>
          </cell>
          <cell r="E190">
            <v>45.1</v>
          </cell>
        </row>
        <row r="191">
          <cell r="C191">
            <v>4.01</v>
          </cell>
          <cell r="D191">
            <v>6.81</v>
          </cell>
          <cell r="E191">
            <v>50.2</v>
          </cell>
        </row>
        <row r="192">
          <cell r="C192">
            <v>0.57999999999999996</v>
          </cell>
          <cell r="D192">
            <v>5.27</v>
          </cell>
          <cell r="E192">
            <v>54</v>
          </cell>
        </row>
        <row r="193">
          <cell r="C193">
            <v>2.64</v>
          </cell>
          <cell r="D193">
            <v>8.31</v>
          </cell>
          <cell r="E193">
            <v>48.3</v>
          </cell>
        </row>
        <row r="194">
          <cell r="C194">
            <v>3.75</v>
          </cell>
          <cell r="D194">
            <v>4.33</v>
          </cell>
          <cell r="E194">
            <v>62.7</v>
          </cell>
        </row>
        <row r="195">
          <cell r="C195">
            <v>0.57999999999999996</v>
          </cell>
          <cell r="D195">
            <v>11.07</v>
          </cell>
          <cell r="E195">
            <v>46.4</v>
          </cell>
        </row>
        <row r="196">
          <cell r="C196">
            <v>1.62</v>
          </cell>
          <cell r="D196">
            <v>7.31</v>
          </cell>
          <cell r="E196">
            <v>44.7</v>
          </cell>
        </row>
        <row r="197">
          <cell r="C197">
            <v>7.06</v>
          </cell>
          <cell r="D197">
            <v>4.7300000000000004</v>
          </cell>
          <cell r="E197">
            <v>31.8</v>
          </cell>
        </row>
        <row r="198">
          <cell r="C198">
            <v>0.59</v>
          </cell>
          <cell r="D198">
            <v>5.5</v>
          </cell>
          <cell r="E198">
            <v>66.7</v>
          </cell>
        </row>
        <row r="199">
          <cell r="C199">
            <v>1.1499999999999999</v>
          </cell>
          <cell r="D199">
            <v>7.49</v>
          </cell>
          <cell r="E199">
            <v>57</v>
          </cell>
        </row>
        <row r="200">
          <cell r="C200">
            <v>0.87</v>
          </cell>
          <cell r="D200">
            <v>6.84</v>
          </cell>
          <cell r="E200">
            <v>52.5</v>
          </cell>
        </row>
        <row r="201">
          <cell r="C201">
            <v>0.88</v>
          </cell>
          <cell r="D201">
            <v>9.8000000000000007</v>
          </cell>
          <cell r="E201">
            <v>50.1</v>
          </cell>
        </row>
        <row r="202">
          <cell r="C202">
            <v>0.65</v>
          </cell>
          <cell r="D202">
            <v>8.08</v>
          </cell>
          <cell r="E202">
            <v>59.9</v>
          </cell>
        </row>
        <row r="203">
          <cell r="C203">
            <v>0.72</v>
          </cell>
          <cell r="D203">
            <v>6.58</v>
          </cell>
          <cell r="E203">
            <v>47.6</v>
          </cell>
        </row>
        <row r="204">
          <cell r="C204">
            <v>7.48</v>
          </cell>
          <cell r="D204">
            <v>3.41</v>
          </cell>
          <cell r="E204">
            <v>54.6</v>
          </cell>
        </row>
        <row r="205">
          <cell r="C205">
            <v>1.56</v>
          </cell>
          <cell r="D205">
            <v>9.58</v>
          </cell>
          <cell r="E205">
            <v>43.4</v>
          </cell>
        </row>
        <row r="206">
          <cell r="C206">
            <v>2.93</v>
          </cell>
          <cell r="D206">
            <v>9.6300000000000008</v>
          </cell>
          <cell r="E206">
            <v>36.9</v>
          </cell>
        </row>
        <row r="207">
          <cell r="C207">
            <v>6.74</v>
          </cell>
          <cell r="D207">
            <v>5.22</v>
          </cell>
          <cell r="E207">
            <v>39.1</v>
          </cell>
        </row>
        <row r="208">
          <cell r="C208">
            <v>0.56000000000000005</v>
          </cell>
          <cell r="D208">
            <v>10.59</v>
          </cell>
          <cell r="E208">
            <v>54.3</v>
          </cell>
        </row>
        <row r="209">
          <cell r="C209">
            <v>3.59</v>
          </cell>
          <cell r="D209">
            <v>1.69</v>
          </cell>
          <cell r="E209">
            <v>65.400000000000006</v>
          </cell>
        </row>
        <row r="210">
          <cell r="C210">
            <v>1.08</v>
          </cell>
          <cell r="D210">
            <v>6.24</v>
          </cell>
          <cell r="E210">
            <v>54.6</v>
          </cell>
        </row>
        <row r="211">
          <cell r="C211">
            <v>0.47</v>
          </cell>
          <cell r="D211">
            <v>8.92</v>
          </cell>
          <cell r="E211">
            <v>40.6</v>
          </cell>
        </row>
        <row r="212">
          <cell r="C212">
            <v>4.7</v>
          </cell>
          <cell r="D212">
            <v>6.42</v>
          </cell>
          <cell r="E212">
            <v>45.4</v>
          </cell>
        </row>
        <row r="213">
          <cell r="C213">
            <v>0.68</v>
          </cell>
          <cell r="D213">
            <v>10.96</v>
          </cell>
          <cell r="E213">
            <v>38.1</v>
          </cell>
        </row>
        <row r="214">
          <cell r="C214">
            <v>0.98</v>
          </cell>
          <cell r="D214">
            <v>8.15</v>
          </cell>
          <cell r="E214">
            <v>57.5</v>
          </cell>
        </row>
        <row r="215">
          <cell r="C215">
            <v>0.48</v>
          </cell>
          <cell r="D215">
            <v>7</v>
          </cell>
          <cell r="E215">
            <v>70.8</v>
          </cell>
        </row>
        <row r="216">
          <cell r="C216">
            <v>1.22</v>
          </cell>
          <cell r="D216">
            <v>8.81</v>
          </cell>
          <cell r="E216">
            <v>46.8</v>
          </cell>
        </row>
        <row r="217">
          <cell r="C217">
            <v>1.97</v>
          </cell>
          <cell r="D217">
            <v>3.53</v>
          </cell>
          <cell r="E217">
            <v>64.2</v>
          </cell>
        </row>
        <row r="218">
          <cell r="C218">
            <v>2.23</v>
          </cell>
          <cell r="D218">
            <v>7.3</v>
          </cell>
          <cell r="E218">
            <v>46.6</v>
          </cell>
        </row>
        <row r="219">
          <cell r="C219">
            <v>0.92</v>
          </cell>
          <cell r="D219">
            <v>7.24</v>
          </cell>
          <cell r="E219">
            <v>56.6</v>
          </cell>
        </row>
        <row r="220">
          <cell r="C220">
            <v>0.8</v>
          </cell>
          <cell r="D220">
            <v>8.52</v>
          </cell>
          <cell r="E220">
            <v>56.3</v>
          </cell>
        </row>
        <row r="221">
          <cell r="C221">
            <v>1.06</v>
          </cell>
          <cell r="D221">
            <v>6.36</v>
          </cell>
          <cell r="E221">
            <v>72.900000000000006</v>
          </cell>
        </row>
        <row r="222">
          <cell r="C222">
            <v>1.85</v>
          </cell>
          <cell r="D222">
            <v>6.21</v>
          </cell>
          <cell r="E222">
            <v>56.6</v>
          </cell>
        </row>
        <row r="223">
          <cell r="C223">
            <v>2.33</v>
          </cell>
          <cell r="D223">
            <v>7.18</v>
          </cell>
          <cell r="E223">
            <v>49</v>
          </cell>
        </row>
        <row r="224">
          <cell r="C224">
            <v>6.4</v>
          </cell>
          <cell r="D224">
            <v>5.45</v>
          </cell>
          <cell r="E224">
            <v>32.700000000000003</v>
          </cell>
        </row>
        <row r="225">
          <cell r="C225">
            <v>1.25</v>
          </cell>
          <cell r="D225">
            <v>9.39</v>
          </cell>
          <cell r="E225">
            <v>36.5</v>
          </cell>
        </row>
        <row r="226">
          <cell r="C226">
            <v>0.73</v>
          </cell>
          <cell r="D226">
            <v>6.78</v>
          </cell>
          <cell r="E226">
            <v>58.5</v>
          </cell>
        </row>
        <row r="227">
          <cell r="C227">
            <v>0.31</v>
          </cell>
          <cell r="D227">
            <v>5.89</v>
          </cell>
          <cell r="E227">
            <v>60.7</v>
          </cell>
        </row>
        <row r="228">
          <cell r="C228">
            <v>0.96</v>
          </cell>
          <cell r="D228">
            <v>6.3</v>
          </cell>
          <cell r="E228">
            <v>58.8</v>
          </cell>
        </row>
        <row r="229">
          <cell r="C229">
            <v>3.11</v>
          </cell>
          <cell r="D229">
            <v>7.12</v>
          </cell>
          <cell r="E229">
            <v>44.1</v>
          </cell>
        </row>
        <row r="230">
          <cell r="C230">
            <v>5.4</v>
          </cell>
          <cell r="D230">
            <v>4.78</v>
          </cell>
          <cell r="E230">
            <v>42.1</v>
          </cell>
        </row>
        <row r="231">
          <cell r="C231">
            <v>1.47</v>
          </cell>
          <cell r="D231">
            <v>7.51</v>
          </cell>
          <cell r="E231">
            <v>55.5</v>
          </cell>
        </row>
        <row r="232">
          <cell r="C232">
            <v>0.96</v>
          </cell>
          <cell r="D232">
            <v>9.43</v>
          </cell>
          <cell r="E232">
            <v>46.3</v>
          </cell>
        </row>
        <row r="233">
          <cell r="C233">
            <v>0.48</v>
          </cell>
          <cell r="D233">
            <v>8.23</v>
          </cell>
          <cell r="E233">
            <v>48.5</v>
          </cell>
        </row>
        <row r="234">
          <cell r="C234">
            <v>0.45</v>
          </cell>
          <cell r="D234">
            <v>8.59</v>
          </cell>
          <cell r="E234">
            <v>49.9</v>
          </cell>
        </row>
        <row r="235">
          <cell r="C235">
            <v>1.19</v>
          </cell>
          <cell r="D235">
            <v>5.86</v>
          </cell>
          <cell r="E235">
            <v>69.099999999999994</v>
          </cell>
        </row>
        <row r="236">
          <cell r="C236">
            <v>2.5</v>
          </cell>
          <cell r="D236">
            <v>5.26</v>
          </cell>
          <cell r="E236">
            <v>60.6</v>
          </cell>
        </row>
        <row r="237">
          <cell r="C237">
            <v>0.72</v>
          </cell>
          <cell r="D237">
            <v>6.14</v>
          </cell>
          <cell r="E237">
            <v>82.7</v>
          </cell>
        </row>
        <row r="238">
          <cell r="C238">
            <v>0.56999999999999995</v>
          </cell>
          <cell r="D238">
            <v>9.82</v>
          </cell>
          <cell r="E238">
            <v>47.9</v>
          </cell>
        </row>
        <row r="239">
          <cell r="C239">
            <v>0.51</v>
          </cell>
          <cell r="D239">
            <v>9.6199999999999992</v>
          </cell>
          <cell r="E239">
            <v>38.6</v>
          </cell>
        </row>
        <row r="240">
          <cell r="C240">
            <v>6.69</v>
          </cell>
          <cell r="D240">
            <v>2.11</v>
          </cell>
          <cell r="E240">
            <v>76.900000000000006</v>
          </cell>
        </row>
        <row r="241">
          <cell r="C241">
            <v>1.83</v>
          </cell>
          <cell r="D241">
            <v>6.62</v>
          </cell>
          <cell r="E241">
            <v>72.5</v>
          </cell>
        </row>
        <row r="242">
          <cell r="C242">
            <v>2.5499999999999998</v>
          </cell>
          <cell r="D242">
            <v>7.58</v>
          </cell>
          <cell r="E242">
            <v>43.8</v>
          </cell>
        </row>
        <row r="243">
          <cell r="C243">
            <v>5.75</v>
          </cell>
          <cell r="D243">
            <v>3.86</v>
          </cell>
          <cell r="E243">
            <v>59.5</v>
          </cell>
        </row>
        <row r="244">
          <cell r="C244">
            <v>5.84</v>
          </cell>
          <cell r="D244">
            <v>6.85</v>
          </cell>
          <cell r="E244">
            <v>51.4</v>
          </cell>
        </row>
        <row r="245">
          <cell r="C245">
            <v>4.91</v>
          </cell>
          <cell r="D245">
            <v>6.28</v>
          </cell>
          <cell r="E245">
            <v>41</v>
          </cell>
        </row>
        <row r="246">
          <cell r="C246">
            <v>0.41</v>
          </cell>
          <cell r="D246">
            <v>4.46</v>
          </cell>
          <cell r="E246">
            <v>88.9</v>
          </cell>
        </row>
        <row r="247">
          <cell r="C247">
            <v>0.79</v>
          </cell>
          <cell r="D247">
            <v>12.87</v>
          </cell>
          <cell r="E247">
            <v>36.5</v>
          </cell>
        </row>
        <row r="248">
          <cell r="C248">
            <v>0.65</v>
          </cell>
          <cell r="D248">
            <v>9.15</v>
          </cell>
          <cell r="E248">
            <v>53.2</v>
          </cell>
        </row>
        <row r="249">
          <cell r="C249">
            <v>4.43</v>
          </cell>
          <cell r="D249">
            <v>1.99</v>
          </cell>
          <cell r="E249">
            <v>65.599999999999994</v>
          </cell>
        </row>
        <row r="250">
          <cell r="C250">
            <v>0.46</v>
          </cell>
          <cell r="D250">
            <v>8.8000000000000007</v>
          </cell>
          <cell r="E250">
            <v>65.099999999999994</v>
          </cell>
        </row>
        <row r="251">
          <cell r="C251">
            <v>1.1599999999999999</v>
          </cell>
          <cell r="D251">
            <v>8.5</v>
          </cell>
          <cell r="E251">
            <v>50.5</v>
          </cell>
        </row>
        <row r="252">
          <cell r="C252">
            <v>1</v>
          </cell>
          <cell r="D252">
            <v>7.87</v>
          </cell>
          <cell r="E252">
            <v>48.8</v>
          </cell>
        </row>
        <row r="253">
          <cell r="C253">
            <v>2.93</v>
          </cell>
          <cell r="D253">
            <v>5.96</v>
          </cell>
          <cell r="E253">
            <v>65.7</v>
          </cell>
        </row>
        <row r="254">
          <cell r="C254">
            <v>1.79</v>
          </cell>
          <cell r="D254">
            <v>6.04</v>
          </cell>
          <cell r="E254">
            <v>60.9</v>
          </cell>
        </row>
        <row r="255">
          <cell r="C255">
            <v>2.4</v>
          </cell>
          <cell r="D255">
            <v>11.78</v>
          </cell>
          <cell r="E255">
            <v>48.1</v>
          </cell>
        </row>
        <row r="256">
          <cell r="C256">
            <v>0.55000000000000004</v>
          </cell>
          <cell r="D256">
            <v>7.09</v>
          </cell>
          <cell r="E256">
            <v>58.3</v>
          </cell>
        </row>
        <row r="257">
          <cell r="C257">
            <v>0.68</v>
          </cell>
          <cell r="D257">
            <v>8.18</v>
          </cell>
          <cell r="E257">
            <v>50.4</v>
          </cell>
        </row>
        <row r="258">
          <cell r="C258">
            <v>1.42</v>
          </cell>
          <cell r="D258">
            <v>6.66</v>
          </cell>
          <cell r="E258">
            <v>43.6</v>
          </cell>
        </row>
        <row r="259">
          <cell r="C259">
            <v>0.88</v>
          </cell>
          <cell r="D259">
            <v>7.07</v>
          </cell>
          <cell r="E259">
            <v>67.3</v>
          </cell>
        </row>
        <row r="260">
          <cell r="C260">
            <v>6.1</v>
          </cell>
          <cell r="D260">
            <v>3.13</v>
          </cell>
          <cell r="E260">
            <v>52.2</v>
          </cell>
        </row>
        <row r="261">
          <cell r="C261">
            <v>2.5499999999999998</v>
          </cell>
          <cell r="D261">
            <v>6.65</v>
          </cell>
          <cell r="E261">
            <v>39.799999999999997</v>
          </cell>
        </row>
        <row r="262">
          <cell r="C262">
            <v>0.57999999999999996</v>
          </cell>
          <cell r="D262">
            <v>10.97</v>
          </cell>
          <cell r="E262">
            <v>56.2</v>
          </cell>
        </row>
        <row r="263">
          <cell r="C263">
            <v>0.37</v>
          </cell>
          <cell r="D263">
            <v>5.78</v>
          </cell>
          <cell r="E263">
            <v>64.599999999999994</v>
          </cell>
        </row>
        <row r="264">
          <cell r="C264">
            <v>2.73</v>
          </cell>
          <cell r="D264">
            <v>6.28</v>
          </cell>
          <cell r="E264">
            <v>49</v>
          </cell>
        </row>
        <row r="265">
          <cell r="C265">
            <v>3.68</v>
          </cell>
          <cell r="D265">
            <v>2.19</v>
          </cell>
          <cell r="E265">
            <v>62.2</v>
          </cell>
        </row>
        <row r="266">
          <cell r="C266">
            <v>5.13</v>
          </cell>
          <cell r="D266">
            <v>5</v>
          </cell>
          <cell r="E266">
            <v>47.1</v>
          </cell>
        </row>
        <row r="267">
          <cell r="C267">
            <v>0.53</v>
          </cell>
          <cell r="D267">
            <v>10.039999999999999</v>
          </cell>
          <cell r="E267">
            <v>60.4</v>
          </cell>
        </row>
        <row r="268">
          <cell r="C268">
            <v>5.27</v>
          </cell>
          <cell r="D268">
            <v>7.12</v>
          </cell>
          <cell r="E268">
            <v>20.6</v>
          </cell>
        </row>
        <row r="269">
          <cell r="C269">
            <v>12.04</v>
          </cell>
          <cell r="D269">
            <v>7.13</v>
          </cell>
          <cell r="E269">
            <v>28.4</v>
          </cell>
        </row>
        <row r="270">
          <cell r="C270">
            <v>1.1100000000000001</v>
          </cell>
          <cell r="D270">
            <v>8.83</v>
          </cell>
          <cell r="E270">
            <v>42.2</v>
          </cell>
        </row>
        <row r="271">
          <cell r="C271">
            <v>1.04</v>
          </cell>
          <cell r="D271">
            <v>3.43</v>
          </cell>
          <cell r="E271">
            <v>88.1</v>
          </cell>
        </row>
        <row r="272">
          <cell r="C272">
            <v>6.2</v>
          </cell>
          <cell r="D272">
            <v>4.34</v>
          </cell>
          <cell r="E272">
            <v>40.4</v>
          </cell>
        </row>
        <row r="273">
          <cell r="C273">
            <v>0.67</v>
          </cell>
          <cell r="D273">
            <v>6.57</v>
          </cell>
          <cell r="E273">
            <v>54</v>
          </cell>
        </row>
        <row r="274">
          <cell r="C274">
            <v>3.61</v>
          </cell>
          <cell r="D274">
            <v>5.46</v>
          </cell>
          <cell r="E274">
            <v>41.9</v>
          </cell>
        </row>
        <row r="275">
          <cell r="C275">
            <v>1.26</v>
          </cell>
          <cell r="D275">
            <v>8.25</v>
          </cell>
          <cell r="E275">
            <v>70.3</v>
          </cell>
        </row>
        <row r="276">
          <cell r="C276">
            <v>7.1</v>
          </cell>
          <cell r="D276">
            <v>6.99</v>
          </cell>
          <cell r="E276">
            <v>51.3</v>
          </cell>
        </row>
        <row r="277">
          <cell r="C277">
            <v>1.48</v>
          </cell>
          <cell r="D277">
            <v>4.1100000000000003</v>
          </cell>
          <cell r="E277">
            <v>75.099999999999994</v>
          </cell>
        </row>
        <row r="278">
          <cell r="C278">
            <v>0.28999999999999998</v>
          </cell>
          <cell r="D278">
            <v>2.15</v>
          </cell>
          <cell r="E278">
            <v>65.599999999999994</v>
          </cell>
        </row>
        <row r="279">
          <cell r="C279">
            <v>0.42</v>
          </cell>
          <cell r="D279">
            <v>7.96</v>
          </cell>
          <cell r="E279">
            <v>75.7</v>
          </cell>
        </row>
        <row r="280">
          <cell r="C280">
            <v>3.6</v>
          </cell>
          <cell r="D280">
            <v>5.66</v>
          </cell>
          <cell r="E280">
            <v>43.6</v>
          </cell>
        </row>
        <row r="281">
          <cell r="C281">
            <v>2.63</v>
          </cell>
          <cell r="D281">
            <v>10.1</v>
          </cell>
          <cell r="E281">
            <v>30.5</v>
          </cell>
        </row>
        <row r="282">
          <cell r="C282">
            <v>0.51</v>
          </cell>
          <cell r="D282">
            <v>9.69</v>
          </cell>
          <cell r="E282">
            <v>42.2</v>
          </cell>
        </row>
        <row r="283">
          <cell r="C283">
            <v>2.83</v>
          </cell>
          <cell r="D283">
            <v>8.84</v>
          </cell>
          <cell r="E283">
            <v>59.6</v>
          </cell>
        </row>
        <row r="284">
          <cell r="C284">
            <v>2.5099999999999998</v>
          </cell>
          <cell r="D284">
            <v>7.24</v>
          </cell>
          <cell r="E284">
            <v>66.2</v>
          </cell>
        </row>
        <row r="285">
          <cell r="C285">
            <v>0.89</v>
          </cell>
          <cell r="D285">
            <v>4.1399999999999997</v>
          </cell>
          <cell r="E285">
            <v>64.599999999999994</v>
          </cell>
        </row>
        <row r="286">
          <cell r="C286">
            <v>0.44</v>
          </cell>
          <cell r="D286">
            <v>8.44</v>
          </cell>
          <cell r="E286">
            <v>42.4</v>
          </cell>
        </row>
        <row r="287">
          <cell r="C287">
            <v>1.17</v>
          </cell>
          <cell r="D287">
            <v>9.9499999999999993</v>
          </cell>
          <cell r="E287">
            <v>47</v>
          </cell>
        </row>
        <row r="288">
          <cell r="C288">
            <v>0.31</v>
          </cell>
          <cell r="D288">
            <v>5.04</v>
          </cell>
          <cell r="E288">
            <v>75.7</v>
          </cell>
        </row>
        <row r="289">
          <cell r="C289">
            <v>4.83</v>
          </cell>
          <cell r="D289">
            <v>5.55</v>
          </cell>
          <cell r="E289">
            <v>49.2</v>
          </cell>
        </row>
        <row r="290">
          <cell r="C290">
            <v>0.54</v>
          </cell>
          <cell r="D290">
            <v>10.25</v>
          </cell>
          <cell r="E290">
            <v>46.8</v>
          </cell>
        </row>
        <row r="291">
          <cell r="C291">
            <v>1.53</v>
          </cell>
          <cell r="D291">
            <v>5.85</v>
          </cell>
          <cell r="E291">
            <v>49.5</v>
          </cell>
        </row>
        <row r="292">
          <cell r="C292">
            <v>2.61</v>
          </cell>
          <cell r="D292">
            <v>7.52</v>
          </cell>
          <cell r="E292">
            <v>40.6</v>
          </cell>
        </row>
        <row r="293">
          <cell r="C293">
            <v>0.54</v>
          </cell>
          <cell r="D293">
            <v>5.86</v>
          </cell>
          <cell r="E293">
            <v>66.900000000000006</v>
          </cell>
        </row>
        <row r="294">
          <cell r="C294">
            <v>3.15</v>
          </cell>
          <cell r="D294">
            <v>5.47</v>
          </cell>
          <cell r="E294">
            <v>38.6</v>
          </cell>
        </row>
        <row r="295">
          <cell r="C295">
            <v>0.81</v>
          </cell>
          <cell r="D295">
            <v>10.24</v>
          </cell>
          <cell r="E295">
            <v>34.4</v>
          </cell>
        </row>
        <row r="296">
          <cell r="C296">
            <v>2.65</v>
          </cell>
          <cell r="D296">
            <v>5.9</v>
          </cell>
          <cell r="E296">
            <v>47.8</v>
          </cell>
        </row>
        <row r="297">
          <cell r="C297">
            <v>0.52</v>
          </cell>
          <cell r="D297">
            <v>9.84</v>
          </cell>
          <cell r="E297">
            <v>46.3</v>
          </cell>
        </row>
        <row r="298">
          <cell r="C298">
            <v>0.98</v>
          </cell>
          <cell r="D298">
            <v>5.84</v>
          </cell>
          <cell r="E298">
            <v>48.1</v>
          </cell>
        </row>
        <row r="299">
          <cell r="C299">
            <v>1.68</v>
          </cell>
          <cell r="D299">
            <v>10.95</v>
          </cell>
          <cell r="E299">
            <v>41.9</v>
          </cell>
        </row>
        <row r="300">
          <cell r="C300">
            <v>1.71</v>
          </cell>
          <cell r="D300">
            <v>8.36</v>
          </cell>
          <cell r="E300">
            <v>43.4</v>
          </cell>
        </row>
        <row r="301">
          <cell r="C301">
            <v>1.87</v>
          </cell>
          <cell r="D301">
            <v>8.57</v>
          </cell>
          <cell r="E301">
            <v>52.2</v>
          </cell>
        </row>
        <row r="302">
          <cell r="C302">
            <v>1.38</v>
          </cell>
          <cell r="D302">
            <v>6.39</v>
          </cell>
          <cell r="E302">
            <v>49.8</v>
          </cell>
        </row>
        <row r="303">
          <cell r="C303">
            <v>2.96</v>
          </cell>
          <cell r="D303">
            <v>5.49</v>
          </cell>
          <cell r="E303">
            <v>60.2</v>
          </cell>
        </row>
        <row r="304">
          <cell r="C304">
            <v>3.57</v>
          </cell>
          <cell r="D304">
            <v>4.2</v>
          </cell>
          <cell r="E304">
            <v>56.6</v>
          </cell>
        </row>
        <row r="305">
          <cell r="C305">
            <v>3.17</v>
          </cell>
          <cell r="D305">
            <v>5.39</v>
          </cell>
          <cell r="E305">
            <v>49.7</v>
          </cell>
        </row>
        <row r="306">
          <cell r="C306">
            <v>0.73</v>
          </cell>
          <cell r="D306">
            <v>4.45</v>
          </cell>
          <cell r="E306">
            <v>60.8</v>
          </cell>
        </row>
        <row r="307">
          <cell r="C307">
            <v>1.33</v>
          </cell>
          <cell r="D307">
            <v>8.2200000000000006</v>
          </cell>
          <cell r="E307">
            <v>49.6</v>
          </cell>
        </row>
        <row r="308">
          <cell r="C308">
            <v>1.55</v>
          </cell>
          <cell r="D308">
            <v>8.18</v>
          </cell>
          <cell r="E308">
            <v>38.1</v>
          </cell>
        </row>
        <row r="309">
          <cell r="C309">
            <v>1.59</v>
          </cell>
          <cell r="D309">
            <v>5.12</v>
          </cell>
          <cell r="E309">
            <v>55.3</v>
          </cell>
        </row>
        <row r="310">
          <cell r="C310">
            <v>1.87</v>
          </cell>
          <cell r="D310">
            <v>5.3</v>
          </cell>
          <cell r="E310">
            <v>80.2</v>
          </cell>
        </row>
        <row r="311">
          <cell r="C311">
            <v>0.39</v>
          </cell>
          <cell r="D311">
            <v>7.38</v>
          </cell>
          <cell r="E311">
            <v>72.7</v>
          </cell>
        </row>
        <row r="312">
          <cell r="C312">
            <v>3.83</v>
          </cell>
          <cell r="D312">
            <v>7.88</v>
          </cell>
          <cell r="E312">
            <v>40.6</v>
          </cell>
        </row>
        <row r="313">
          <cell r="C313">
            <v>0.5</v>
          </cell>
          <cell r="D313">
            <v>9.52</v>
          </cell>
          <cell r="E313">
            <v>40.799999999999997</v>
          </cell>
        </row>
        <row r="314">
          <cell r="C314">
            <v>4.99</v>
          </cell>
          <cell r="D314">
            <v>8.41</v>
          </cell>
          <cell r="E314">
            <v>43.6</v>
          </cell>
        </row>
        <row r="315">
          <cell r="C315">
            <v>0.45</v>
          </cell>
          <cell r="D315">
            <v>8.56</v>
          </cell>
          <cell r="E315">
            <v>63.7</v>
          </cell>
        </row>
        <row r="316">
          <cell r="C316">
            <v>0.28999999999999998</v>
          </cell>
          <cell r="D316">
            <v>3.35</v>
          </cell>
          <cell r="E316">
            <v>88.8</v>
          </cell>
        </row>
        <row r="317">
          <cell r="C317">
            <v>0.46</v>
          </cell>
          <cell r="D317">
            <v>8.7100000000000009</v>
          </cell>
          <cell r="E317">
            <v>54.7</v>
          </cell>
        </row>
        <row r="318">
          <cell r="C318">
            <v>4.76</v>
          </cell>
          <cell r="D318">
            <v>6.44</v>
          </cell>
          <cell r="E318">
            <v>40.799999999999997</v>
          </cell>
        </row>
        <row r="319">
          <cell r="C319">
            <v>1.49</v>
          </cell>
          <cell r="D319">
            <v>8.2899999999999991</v>
          </cell>
          <cell r="E319">
            <v>49.5</v>
          </cell>
        </row>
        <row r="320">
          <cell r="C320">
            <v>5.53</v>
          </cell>
          <cell r="D320">
            <v>2.59</v>
          </cell>
          <cell r="E320">
            <v>52.5</v>
          </cell>
        </row>
        <row r="321">
          <cell r="C321">
            <v>3.45</v>
          </cell>
          <cell r="D321">
            <v>6.16</v>
          </cell>
          <cell r="E321">
            <v>84</v>
          </cell>
        </row>
        <row r="322">
          <cell r="C322">
            <v>2.0499999999999998</v>
          </cell>
          <cell r="D322">
            <v>11.03</v>
          </cell>
          <cell r="E322">
            <v>40.5</v>
          </cell>
        </row>
        <row r="323">
          <cell r="C323">
            <v>2.1800000000000002</v>
          </cell>
          <cell r="D323">
            <v>8.52</v>
          </cell>
          <cell r="E323">
            <v>64</v>
          </cell>
        </row>
        <row r="324">
          <cell r="C324">
            <v>6.31</v>
          </cell>
          <cell r="D324">
            <v>4</v>
          </cell>
          <cell r="E324">
            <v>38.4</v>
          </cell>
        </row>
        <row r="325">
          <cell r="C325">
            <v>1.33</v>
          </cell>
          <cell r="D325">
            <v>9.27</v>
          </cell>
          <cell r="E325">
            <v>62.5</v>
          </cell>
        </row>
        <row r="326">
          <cell r="C326">
            <v>3.99</v>
          </cell>
          <cell r="D326">
            <v>7.11</v>
          </cell>
          <cell r="E326">
            <v>57.4</v>
          </cell>
        </row>
        <row r="327">
          <cell r="C327">
            <v>2.4</v>
          </cell>
          <cell r="D327">
            <v>7.72</v>
          </cell>
          <cell r="E327">
            <v>47.5</v>
          </cell>
        </row>
        <row r="328">
          <cell r="C328">
            <v>0.41</v>
          </cell>
          <cell r="D328">
            <v>6.44</v>
          </cell>
          <cell r="E328">
            <v>53.8</v>
          </cell>
        </row>
        <row r="329">
          <cell r="C329">
            <v>0.67</v>
          </cell>
          <cell r="D329">
            <v>9.0500000000000007</v>
          </cell>
          <cell r="E329">
            <v>44.8</v>
          </cell>
        </row>
        <row r="330">
          <cell r="C330">
            <v>2.29</v>
          </cell>
          <cell r="D330">
            <v>8.31</v>
          </cell>
          <cell r="E330">
            <v>31.4</v>
          </cell>
        </row>
        <row r="331">
          <cell r="C331">
            <v>0.95</v>
          </cell>
          <cell r="D331">
            <v>10.59</v>
          </cell>
          <cell r="E331">
            <v>39.1</v>
          </cell>
        </row>
        <row r="332">
          <cell r="C332">
            <v>2.5</v>
          </cell>
          <cell r="D332">
            <v>8.7799999999999994</v>
          </cell>
          <cell r="E332">
            <v>62.5</v>
          </cell>
        </row>
        <row r="333">
          <cell r="C333">
            <v>0.94</v>
          </cell>
          <cell r="D333">
            <v>7.95</v>
          </cell>
          <cell r="E333">
            <v>46.3</v>
          </cell>
        </row>
        <row r="334">
          <cell r="C334">
            <v>2.87</v>
          </cell>
          <cell r="D334">
            <v>6.27</v>
          </cell>
          <cell r="E334">
            <v>38.4</v>
          </cell>
        </row>
        <row r="335">
          <cell r="C335">
            <v>0.47</v>
          </cell>
          <cell r="D335">
            <v>8.9600000000000009</v>
          </cell>
          <cell r="E335">
            <v>54.5</v>
          </cell>
        </row>
        <row r="336">
          <cell r="C336">
            <v>2.68</v>
          </cell>
          <cell r="D336">
            <v>2.2799999999999998</v>
          </cell>
          <cell r="E336">
            <v>57.1</v>
          </cell>
        </row>
        <row r="337">
          <cell r="C337">
            <v>1.1100000000000001</v>
          </cell>
          <cell r="D337">
            <v>3.37</v>
          </cell>
          <cell r="E337">
            <v>67.099999999999994</v>
          </cell>
        </row>
        <row r="338">
          <cell r="C338">
            <v>0.78</v>
          </cell>
          <cell r="D338">
            <v>5.56</v>
          </cell>
          <cell r="E338">
            <v>67.5</v>
          </cell>
        </row>
        <row r="339">
          <cell r="C339">
            <v>2.58</v>
          </cell>
          <cell r="D339">
            <v>7.84</v>
          </cell>
          <cell r="E339">
            <v>58.2</v>
          </cell>
        </row>
        <row r="340">
          <cell r="C340">
            <v>0.44</v>
          </cell>
          <cell r="D340">
            <v>6.41</v>
          </cell>
          <cell r="E340">
            <v>58.6</v>
          </cell>
        </row>
        <row r="341">
          <cell r="C341">
            <v>1.37</v>
          </cell>
          <cell r="D341">
            <v>8.02</v>
          </cell>
          <cell r="E341">
            <v>61.3</v>
          </cell>
        </row>
        <row r="342">
          <cell r="C342">
            <v>0.53</v>
          </cell>
          <cell r="D342">
            <v>6.14</v>
          </cell>
          <cell r="E342">
            <v>58.6</v>
          </cell>
        </row>
        <row r="343">
          <cell r="C343">
            <v>5.48</v>
          </cell>
          <cell r="D343">
            <v>4.71</v>
          </cell>
          <cell r="E343">
            <v>43.7</v>
          </cell>
        </row>
        <row r="344">
          <cell r="C344">
            <v>5.85</v>
          </cell>
          <cell r="D344">
            <v>7.74</v>
          </cell>
          <cell r="E344">
            <v>23.2</v>
          </cell>
        </row>
        <row r="345">
          <cell r="C345">
            <v>7.36</v>
          </cell>
          <cell r="D345">
            <v>6.66</v>
          </cell>
          <cell r="E345">
            <v>34.1</v>
          </cell>
        </row>
        <row r="346">
          <cell r="C346">
            <v>1.54</v>
          </cell>
          <cell r="D346">
            <v>5.52</v>
          </cell>
          <cell r="E346">
            <v>39.799999999999997</v>
          </cell>
        </row>
        <row r="347">
          <cell r="C347">
            <v>2.41</v>
          </cell>
          <cell r="D347">
            <v>7.46</v>
          </cell>
          <cell r="E347">
            <v>41.1</v>
          </cell>
        </row>
        <row r="348">
          <cell r="C348">
            <v>0.35</v>
          </cell>
          <cell r="D348">
            <v>6.62</v>
          </cell>
          <cell r="E348">
            <v>47.3</v>
          </cell>
        </row>
        <row r="349">
          <cell r="C349">
            <v>2.21</v>
          </cell>
          <cell r="D349">
            <v>9.81</v>
          </cell>
          <cell r="E349">
            <v>39.700000000000003</v>
          </cell>
        </row>
        <row r="350">
          <cell r="C350">
            <v>0.77</v>
          </cell>
          <cell r="D350">
            <v>6.13</v>
          </cell>
          <cell r="E350">
            <v>63</v>
          </cell>
        </row>
        <row r="351">
          <cell r="C351">
            <v>1.57</v>
          </cell>
          <cell r="D351">
            <v>4.17</v>
          </cell>
          <cell r="E351">
            <v>84.8</v>
          </cell>
        </row>
        <row r="352">
          <cell r="C352">
            <v>1.43</v>
          </cell>
          <cell r="D352">
            <v>9.5399999999999991</v>
          </cell>
          <cell r="E352">
            <v>46</v>
          </cell>
        </row>
        <row r="353">
          <cell r="C353">
            <v>0.51</v>
          </cell>
          <cell r="D353">
            <v>9.73</v>
          </cell>
          <cell r="E353">
            <v>36.9</v>
          </cell>
        </row>
        <row r="354">
          <cell r="C354">
            <v>0.94</v>
          </cell>
          <cell r="D354">
            <v>5.32</v>
          </cell>
          <cell r="E354">
            <v>67.8</v>
          </cell>
        </row>
        <row r="355">
          <cell r="C355">
            <v>0.75</v>
          </cell>
          <cell r="D355">
            <v>10.74</v>
          </cell>
          <cell r="E355">
            <v>30.2</v>
          </cell>
        </row>
        <row r="356">
          <cell r="C356">
            <v>0.52</v>
          </cell>
          <cell r="D356">
            <v>9.8699999999999992</v>
          </cell>
          <cell r="E356">
            <v>34.799999999999997</v>
          </cell>
        </row>
        <row r="357">
          <cell r="C357">
            <v>2.36</v>
          </cell>
          <cell r="D357">
            <v>6.36</v>
          </cell>
          <cell r="E357">
            <v>39.6</v>
          </cell>
        </row>
        <row r="358">
          <cell r="C358">
            <v>5.71</v>
          </cell>
          <cell r="D358">
            <v>5.87</v>
          </cell>
          <cell r="E358">
            <v>52.1</v>
          </cell>
        </row>
        <row r="359">
          <cell r="C359">
            <v>1.52</v>
          </cell>
          <cell r="D359">
            <v>6.21</v>
          </cell>
          <cell r="E359">
            <v>51.9</v>
          </cell>
        </row>
        <row r="360">
          <cell r="C360">
            <v>6.11</v>
          </cell>
          <cell r="D360">
            <v>5.53</v>
          </cell>
          <cell r="E360">
            <v>48.6</v>
          </cell>
        </row>
        <row r="361">
          <cell r="C361">
            <v>2.81</v>
          </cell>
          <cell r="D361">
            <v>5.25</v>
          </cell>
          <cell r="E361">
            <v>63.3</v>
          </cell>
        </row>
        <row r="362">
          <cell r="C362">
            <v>3.83</v>
          </cell>
          <cell r="D362">
            <v>5.22</v>
          </cell>
          <cell r="E362">
            <v>54.9</v>
          </cell>
        </row>
        <row r="363">
          <cell r="C363">
            <v>4.84</v>
          </cell>
          <cell r="D363">
            <v>7.19</v>
          </cell>
          <cell r="E363">
            <v>46.8</v>
          </cell>
        </row>
        <row r="364">
          <cell r="C364">
            <v>4.8099999999999996</v>
          </cell>
          <cell r="D364">
            <v>6.4</v>
          </cell>
          <cell r="E364">
            <v>34.1</v>
          </cell>
        </row>
        <row r="365">
          <cell r="C365">
            <v>0.81</v>
          </cell>
          <cell r="D365">
            <v>9.56</v>
          </cell>
          <cell r="E365">
            <v>45</v>
          </cell>
        </row>
        <row r="366">
          <cell r="C366">
            <v>0.5</v>
          </cell>
          <cell r="D366">
            <v>5.48</v>
          </cell>
          <cell r="E366">
            <v>72.5</v>
          </cell>
        </row>
        <row r="367">
          <cell r="C367">
            <v>0.96</v>
          </cell>
          <cell r="D367">
            <v>6.81</v>
          </cell>
          <cell r="E367">
            <v>44.3</v>
          </cell>
        </row>
        <row r="368">
          <cell r="C368">
            <v>2.64</v>
          </cell>
          <cell r="D368">
            <v>7.55</v>
          </cell>
          <cell r="E368">
            <v>56</v>
          </cell>
        </row>
        <row r="369">
          <cell r="C369">
            <v>5.33</v>
          </cell>
          <cell r="D369">
            <v>6.28</v>
          </cell>
          <cell r="E369">
            <v>59.1</v>
          </cell>
        </row>
        <row r="370">
          <cell r="C370">
            <v>0.79</v>
          </cell>
          <cell r="D370">
            <v>5.24</v>
          </cell>
          <cell r="E370">
            <v>76.5</v>
          </cell>
        </row>
        <row r="371">
          <cell r="C371">
            <v>0.67</v>
          </cell>
          <cell r="D371">
            <v>4.33</v>
          </cell>
          <cell r="E371">
            <v>63</v>
          </cell>
        </row>
        <row r="372">
          <cell r="C372">
            <v>4.12</v>
          </cell>
          <cell r="D372">
            <v>5.5</v>
          </cell>
          <cell r="E372">
            <v>56.5</v>
          </cell>
        </row>
        <row r="373">
          <cell r="C373">
            <v>3.21</v>
          </cell>
          <cell r="D373">
            <v>10.81</v>
          </cell>
          <cell r="E373">
            <v>47.3</v>
          </cell>
        </row>
        <row r="374">
          <cell r="C374">
            <v>4.54</v>
          </cell>
          <cell r="D374">
            <v>9.5299999999999994</v>
          </cell>
          <cell r="E374">
            <v>40.4</v>
          </cell>
        </row>
        <row r="375">
          <cell r="C375">
            <v>1.01</v>
          </cell>
          <cell r="D375">
            <v>6.4</v>
          </cell>
          <cell r="E375">
            <v>81</v>
          </cell>
        </row>
        <row r="376">
          <cell r="C376">
            <v>6.7</v>
          </cell>
          <cell r="D376">
            <v>3.53</v>
          </cell>
          <cell r="E376">
            <v>33.5</v>
          </cell>
        </row>
        <row r="377">
          <cell r="C377">
            <v>3.97</v>
          </cell>
          <cell r="D377">
            <v>6.47</v>
          </cell>
          <cell r="E377">
            <v>50.4</v>
          </cell>
        </row>
        <row r="378">
          <cell r="C378">
            <v>0.4</v>
          </cell>
          <cell r="D378">
            <v>5.44</v>
          </cell>
          <cell r="E378">
            <v>43.8</v>
          </cell>
        </row>
        <row r="379">
          <cell r="C379">
            <v>1.94</v>
          </cell>
          <cell r="D379">
            <v>6.68</v>
          </cell>
          <cell r="E379">
            <v>49.9</v>
          </cell>
        </row>
        <row r="380">
          <cell r="C380">
            <v>3.55</v>
          </cell>
          <cell r="D380">
            <v>6.79</v>
          </cell>
          <cell r="E380">
            <v>32.799999999999997</v>
          </cell>
        </row>
        <row r="381">
          <cell r="C381">
            <v>1.05</v>
          </cell>
          <cell r="D381">
            <v>9.42</v>
          </cell>
          <cell r="E381">
            <v>50.4</v>
          </cell>
        </row>
        <row r="382">
          <cell r="C382">
            <v>6.19</v>
          </cell>
          <cell r="D382">
            <v>5.6</v>
          </cell>
          <cell r="E382">
            <v>36.5</v>
          </cell>
        </row>
        <row r="383">
          <cell r="C383">
            <v>1.21</v>
          </cell>
          <cell r="D383">
            <v>6.28</v>
          </cell>
          <cell r="E383">
            <v>51.2</v>
          </cell>
        </row>
        <row r="384">
          <cell r="C384">
            <v>0.84</v>
          </cell>
          <cell r="D384">
            <v>9.91</v>
          </cell>
          <cell r="E384">
            <v>34.4</v>
          </cell>
        </row>
        <row r="385">
          <cell r="C385">
            <v>4.21</v>
          </cell>
          <cell r="D385">
            <v>6.76</v>
          </cell>
          <cell r="E385">
            <v>38.799999999999997</v>
          </cell>
        </row>
        <row r="386">
          <cell r="C386">
            <v>6.2</v>
          </cell>
          <cell r="D386">
            <v>7.8</v>
          </cell>
          <cell r="E386">
            <v>43.5</v>
          </cell>
        </row>
        <row r="387">
          <cell r="C387">
            <v>2.99</v>
          </cell>
          <cell r="D387">
            <v>3.44</v>
          </cell>
          <cell r="E387">
            <v>64.599999999999994</v>
          </cell>
        </row>
        <row r="388">
          <cell r="C388">
            <v>5.44</v>
          </cell>
          <cell r="D388">
            <v>4.1500000000000004</v>
          </cell>
          <cell r="E388">
            <v>47.4</v>
          </cell>
        </row>
        <row r="389">
          <cell r="C389">
            <v>2.36</v>
          </cell>
          <cell r="D389">
            <v>6.36</v>
          </cell>
          <cell r="E389">
            <v>57.3</v>
          </cell>
        </row>
        <row r="390">
          <cell r="C390">
            <v>0.94</v>
          </cell>
          <cell r="D390">
            <v>4.0999999999999996</v>
          </cell>
          <cell r="E390">
            <v>63.6</v>
          </cell>
        </row>
        <row r="391">
          <cell r="C391">
            <v>3.82</v>
          </cell>
          <cell r="D391">
            <v>5.04</v>
          </cell>
          <cell r="E391">
            <v>41.4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923381828703" createdVersion="8" refreshedVersion="8" minRefreshableVersion="3" recordCount="393" xr:uid="{244EF89B-E0A7-4A38-BA25-D10E9CE8D168}">
  <cacheSource type="worksheet">
    <worksheetSource name="ScreenTime_vs_MentalWellness__2"/>
  </cacheSource>
  <cacheFields count="16">
    <cacheField name="Column1" numFmtId="0">
      <sharedItems/>
    </cacheField>
    <cacheField name="age" numFmtId="0">
      <sharedItems containsSemiMixedTypes="0" containsString="0" containsNumber="1" containsInteger="1" minValue="16" maxValue="60" count="36">
        <n v="33"/>
        <n v="28"/>
        <n v="35"/>
        <n v="42"/>
        <n v="36"/>
        <n v="26"/>
        <n v="34"/>
        <n v="31"/>
        <n v="16"/>
        <n v="25"/>
        <n v="21"/>
        <n v="32"/>
        <n v="22"/>
        <n v="18"/>
        <n v="41"/>
        <n v="30"/>
        <n v="20"/>
        <n v="27"/>
        <n v="44"/>
        <n v="29"/>
        <n v="19"/>
        <n v="24"/>
        <n v="38"/>
        <n v="37"/>
        <n v="23"/>
        <n v="40"/>
        <n v="45"/>
        <n v="49"/>
        <n v="47"/>
        <n v="17"/>
        <n v="39"/>
        <n v="51"/>
        <n v="60"/>
        <n v="48"/>
        <n v="46"/>
        <n v="43"/>
      </sharedItems>
    </cacheField>
    <cacheField name="gender" numFmtId="0">
      <sharedItems count="3">
        <s v="Female"/>
        <s v="Male"/>
        <s v="Non-binary/Other"/>
      </sharedItems>
    </cacheField>
    <cacheField name="occupation" numFmtId="0">
      <sharedItems count="5">
        <s v="Employed"/>
        <s v="Student"/>
        <s v="Self-employed"/>
        <s v="Retired"/>
        <s v="Unemployed"/>
      </sharedItems>
    </cacheField>
    <cacheField name="work_mode" numFmtId="0">
      <sharedItems count="3">
        <s v="Remote"/>
        <s v="In-person"/>
        <s v="Hybrid"/>
      </sharedItems>
    </cacheField>
    <cacheField name="screen_time_hours" numFmtId="0">
      <sharedItems containsSemiMixedTypes="0" containsString="0" containsNumber="1" minValue="2.44" maxValue="19.170000000000002"/>
    </cacheField>
    <cacheField name="work_screen_hours" numFmtId="0">
      <sharedItems containsSemiMixedTypes="0" containsString="0" containsNumber="1" minValue="0.21" maxValue="12.04"/>
    </cacheField>
    <cacheField name="leisure_screen_hours" numFmtId="0">
      <sharedItems containsSemiMixedTypes="0" containsString="0" containsNumber="1" minValue="1.69" maxValue="13.35"/>
    </cacheField>
    <cacheField name="sleep_hours" numFmtId="0">
      <sharedItems containsSemiMixedTypes="0" containsString="0" containsNumber="1" minValue="4.6399999999999997" maxValue="9.74"/>
    </cacheField>
    <cacheField name="sleep_quality_1_5" numFmtId="0">
      <sharedItems containsSemiMixedTypes="0" containsString="0" containsNumber="1" containsInteger="1" minValue="1" maxValue="4"/>
    </cacheField>
    <cacheField name="stress_level_0_10" numFmtId="0">
      <sharedItems containsSemiMixedTypes="0" containsString="0" containsNumber="1" minValue="1.6" maxValue="10"/>
    </cacheField>
    <cacheField name="productivity_0_100" numFmtId="0">
      <sharedItems containsSemiMixedTypes="0" containsString="0" containsNumber="1" minValue="20.6" maxValue="91.7"/>
    </cacheField>
    <cacheField name="exercise_minutes_per_week" numFmtId="0">
      <sharedItems containsSemiMixedTypes="0" containsString="0" containsNumber="1" containsInteger="1" minValue="0" maxValue="372"/>
    </cacheField>
    <cacheField name="social_hours_per_week" numFmtId="0">
      <sharedItems containsSemiMixedTypes="0" containsString="0" containsNumber="1" minValue="0" maxValue="23.9"/>
    </cacheField>
    <cacheField name="mental_wellness_index_0_100" numFmtId="0">
      <sharedItems containsSemiMixedTypes="0" containsString="0" containsNumber="1" minValue="0" maxValue="86.8"/>
    </cacheField>
    <cacheField name="outlier Productiv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s v="U0001"/>
    <x v="0"/>
    <x v="0"/>
    <x v="0"/>
    <x v="0"/>
    <n v="10.79"/>
    <n v="5.44"/>
    <n v="5.35"/>
    <n v="6.63"/>
    <n v="1"/>
    <n v="9.3000000000000007"/>
    <n v="44.7"/>
    <n v="127"/>
    <n v="0.7"/>
    <n v="9.3000000000000007"/>
    <s v="keep"/>
  </r>
  <r>
    <s v="U0002"/>
    <x v="1"/>
    <x v="0"/>
    <x v="0"/>
    <x v="1"/>
    <n v="7.4"/>
    <n v="0.37"/>
    <n v="7.03"/>
    <n v="8.0500000000000007"/>
    <n v="3"/>
    <n v="5.7"/>
    <n v="78"/>
    <n v="74"/>
    <n v="2.1"/>
    <n v="56.2"/>
    <s v="keep"/>
  </r>
  <r>
    <s v="U0003"/>
    <x v="2"/>
    <x v="0"/>
    <x v="0"/>
    <x v="2"/>
    <n v="9.7799999999999994"/>
    <n v="1.0900000000000001"/>
    <n v="8.69"/>
    <n v="6.48"/>
    <n v="1"/>
    <n v="9.1"/>
    <n v="51.8"/>
    <n v="67"/>
    <n v="8"/>
    <n v="3.6"/>
    <s v="keep"/>
  </r>
  <r>
    <s v="U0004"/>
    <x v="3"/>
    <x v="1"/>
    <x v="0"/>
    <x v="2"/>
    <n v="11.13"/>
    <n v="0.56000000000000005"/>
    <n v="10.57"/>
    <n v="6.89"/>
    <n v="1"/>
    <n v="10"/>
    <n v="37"/>
    <n v="0"/>
    <n v="5.7"/>
    <n v="0"/>
    <s v="keep"/>
  </r>
  <r>
    <s v="U0005"/>
    <x v="1"/>
    <x v="1"/>
    <x v="1"/>
    <x v="0"/>
    <n v="13.22"/>
    <n v="4.09"/>
    <n v="9.1300000000000008"/>
    <n v="5.79"/>
    <n v="1"/>
    <n v="10"/>
    <n v="38.5"/>
    <n v="143"/>
    <n v="10.1"/>
    <n v="0"/>
    <s v="keep"/>
  </r>
  <r>
    <s v="U0006"/>
    <x v="1"/>
    <x v="2"/>
    <x v="2"/>
    <x v="2"/>
    <n v="9.83"/>
    <n v="0.53"/>
    <n v="9.3000000000000007"/>
    <n v="7.19"/>
    <n v="1"/>
    <n v="10"/>
    <n v="44"/>
    <n v="71"/>
    <n v="10.3"/>
    <n v="5"/>
    <s v="keep"/>
  </r>
  <r>
    <s v="U0007"/>
    <x v="3"/>
    <x v="2"/>
    <x v="3"/>
    <x v="0"/>
    <n v="6.02"/>
    <n v="2.82"/>
    <n v="3.2"/>
    <n v="7.44"/>
    <n v="2"/>
    <n v="6.1"/>
    <n v="64.8"/>
    <n v="141"/>
    <n v="4.7"/>
    <n v="43.7"/>
    <s v="keep"/>
  </r>
  <r>
    <s v="U0008"/>
    <x v="4"/>
    <x v="1"/>
    <x v="0"/>
    <x v="1"/>
    <n v="6.21"/>
    <n v="0.75"/>
    <n v="5.46"/>
    <n v="6.78"/>
    <n v="2"/>
    <n v="5.4"/>
    <n v="87"/>
    <n v="51"/>
    <n v="18.7"/>
    <n v="54.3"/>
    <s v="keep"/>
  </r>
  <r>
    <s v="U0009"/>
    <x v="5"/>
    <x v="1"/>
    <x v="1"/>
    <x v="1"/>
    <n v="6.28"/>
    <n v="0.67"/>
    <n v="5.61"/>
    <n v="8.48"/>
    <n v="4"/>
    <n v="1.6"/>
    <n v="91.7"/>
    <n v="149"/>
    <n v="10.1"/>
    <n v="86.8"/>
    <s v="keep"/>
  </r>
  <r>
    <s v="U0010"/>
    <x v="6"/>
    <x v="1"/>
    <x v="0"/>
    <x v="2"/>
    <n v="9.3699999999999992"/>
    <n v="0.84"/>
    <n v="8.5299999999999994"/>
    <n v="7.78"/>
    <n v="2"/>
    <n v="10"/>
    <n v="42.2"/>
    <n v="50"/>
    <n v="12.7"/>
    <n v="10.7"/>
    <s v="keep"/>
  </r>
  <r>
    <s v="U0011"/>
    <x v="5"/>
    <x v="1"/>
    <x v="1"/>
    <x v="0"/>
    <n v="9.8699999999999992"/>
    <n v="3.02"/>
    <n v="6.85"/>
    <n v="6.4"/>
    <n v="1"/>
    <n v="8.8000000000000007"/>
    <n v="55.9"/>
    <n v="87"/>
    <n v="6.2"/>
    <n v="21.8"/>
    <s v="keep"/>
  </r>
  <r>
    <s v="U0012"/>
    <x v="5"/>
    <x v="0"/>
    <x v="4"/>
    <x v="2"/>
    <n v="4.96"/>
    <n v="0.25"/>
    <n v="4.71"/>
    <n v="8.01"/>
    <n v="3"/>
    <n v="4.5999999999999996"/>
    <n v="88.4"/>
    <n v="188"/>
    <n v="12.5"/>
    <n v="74.3"/>
    <s v="keep"/>
  </r>
  <r>
    <s v="U0013"/>
    <x v="7"/>
    <x v="0"/>
    <x v="1"/>
    <x v="0"/>
    <n v="12.55"/>
    <n v="6.8"/>
    <n v="5.75"/>
    <n v="6.96"/>
    <n v="1"/>
    <n v="10"/>
    <n v="33"/>
    <n v="139"/>
    <n v="11.3"/>
    <n v="0"/>
    <s v="keep"/>
  </r>
  <r>
    <s v="U0014"/>
    <x v="8"/>
    <x v="0"/>
    <x v="0"/>
    <x v="0"/>
    <n v="7.86"/>
    <n v="4.33"/>
    <n v="3.53"/>
    <n v="7.59"/>
    <n v="2"/>
    <n v="6.3"/>
    <n v="70.7"/>
    <n v="102"/>
    <n v="8.6"/>
    <n v="40.9"/>
    <s v="keep"/>
  </r>
  <r>
    <s v="U0015"/>
    <x v="8"/>
    <x v="1"/>
    <x v="0"/>
    <x v="2"/>
    <n v="9.07"/>
    <n v="0.79"/>
    <n v="8.2799999999999994"/>
    <n v="5.54"/>
    <n v="1"/>
    <n v="10"/>
    <n v="53.2"/>
    <n v="0"/>
    <n v="0"/>
    <n v="10.7"/>
    <s v="keep"/>
  </r>
  <r>
    <s v="U0016"/>
    <x v="9"/>
    <x v="1"/>
    <x v="0"/>
    <x v="2"/>
    <n v="13.49"/>
    <n v="2.82"/>
    <n v="10.67"/>
    <n v="7.13"/>
    <n v="1"/>
    <n v="10"/>
    <n v="37.6"/>
    <n v="284"/>
    <n v="2.8"/>
    <n v="0"/>
    <s v="keep"/>
  </r>
  <r>
    <s v="U0017"/>
    <x v="10"/>
    <x v="0"/>
    <x v="0"/>
    <x v="1"/>
    <n v="8.86"/>
    <n v="0.82"/>
    <n v="8.0399999999999991"/>
    <n v="6.53"/>
    <n v="1"/>
    <n v="10"/>
    <n v="60.3"/>
    <n v="223"/>
    <n v="13.1"/>
    <n v="10.5"/>
    <s v="keep"/>
  </r>
  <r>
    <s v="U0018"/>
    <x v="11"/>
    <x v="1"/>
    <x v="2"/>
    <x v="2"/>
    <n v="7.13"/>
    <n v="0.82"/>
    <n v="6.31"/>
    <n v="7.06"/>
    <n v="1"/>
    <n v="7"/>
    <n v="49"/>
    <n v="167"/>
    <n v="11.6"/>
    <n v="29.5"/>
    <s v="keep"/>
  </r>
  <r>
    <s v="U0019"/>
    <x v="12"/>
    <x v="1"/>
    <x v="1"/>
    <x v="2"/>
    <n v="8.18"/>
    <n v="0.7"/>
    <n v="7.48"/>
    <n v="9.1999999999999993"/>
    <n v="3"/>
    <n v="4.2"/>
    <n v="85.1"/>
    <n v="52"/>
    <n v="11.2"/>
    <n v="68.900000000000006"/>
    <s v="keep"/>
  </r>
  <r>
    <s v="U0020"/>
    <x v="13"/>
    <x v="0"/>
    <x v="1"/>
    <x v="0"/>
    <n v="10.26"/>
    <n v="5.73"/>
    <n v="4.53"/>
    <n v="6.98"/>
    <n v="1"/>
    <n v="9.4"/>
    <n v="52"/>
    <n v="82"/>
    <n v="1.5"/>
    <n v="10.8"/>
    <s v="keep"/>
  </r>
  <r>
    <s v="U0021"/>
    <x v="14"/>
    <x v="0"/>
    <x v="1"/>
    <x v="0"/>
    <n v="10.14"/>
    <n v="3.29"/>
    <n v="6.85"/>
    <n v="6.68"/>
    <n v="1"/>
    <n v="10"/>
    <n v="48.1"/>
    <n v="65"/>
    <n v="2.8"/>
    <n v="0"/>
    <s v="keep"/>
  </r>
  <r>
    <s v="U0022"/>
    <x v="1"/>
    <x v="1"/>
    <x v="4"/>
    <x v="0"/>
    <n v="7.52"/>
    <n v="2.89"/>
    <n v="4.63"/>
    <n v="5.49"/>
    <n v="1"/>
    <n v="8.1"/>
    <n v="53.1"/>
    <n v="200"/>
    <n v="13.2"/>
    <n v="18.2"/>
    <s v="keep"/>
  </r>
  <r>
    <s v="U0023"/>
    <x v="15"/>
    <x v="1"/>
    <x v="2"/>
    <x v="1"/>
    <n v="7.67"/>
    <n v="1.65"/>
    <n v="6.02"/>
    <n v="8.36"/>
    <n v="3"/>
    <n v="5.0999999999999996"/>
    <n v="76.400000000000006"/>
    <n v="130"/>
    <n v="8.9"/>
    <n v="53.5"/>
    <s v="keep"/>
  </r>
  <r>
    <s v="U0024"/>
    <x v="13"/>
    <x v="1"/>
    <x v="0"/>
    <x v="0"/>
    <n v="5.74"/>
    <n v="2.33"/>
    <n v="3.41"/>
    <n v="6.34"/>
    <n v="1"/>
    <n v="3.7"/>
    <n v="77.3"/>
    <n v="63"/>
    <n v="17.600000000000001"/>
    <n v="48.7"/>
    <s v="keep"/>
  </r>
  <r>
    <s v="U0025"/>
    <x v="9"/>
    <x v="1"/>
    <x v="0"/>
    <x v="1"/>
    <n v="8.93"/>
    <n v="0.45"/>
    <n v="8.48"/>
    <n v="6.21"/>
    <n v="1"/>
    <n v="9.8000000000000007"/>
    <n v="50.3"/>
    <n v="69"/>
    <n v="8.5"/>
    <n v="0.7"/>
    <s v="keep"/>
  </r>
  <r>
    <s v="U0026"/>
    <x v="15"/>
    <x v="1"/>
    <x v="0"/>
    <x v="2"/>
    <n v="7.05"/>
    <n v="0.8"/>
    <n v="6.25"/>
    <n v="7.08"/>
    <n v="1"/>
    <n v="10"/>
    <n v="51"/>
    <n v="194"/>
    <n v="8.6"/>
    <n v="1.8"/>
    <s v="keep"/>
  </r>
  <r>
    <s v="U0027"/>
    <x v="16"/>
    <x v="1"/>
    <x v="1"/>
    <x v="0"/>
    <n v="11.3"/>
    <n v="5.17"/>
    <n v="6.13"/>
    <n v="7.74"/>
    <n v="2"/>
    <n v="10"/>
    <n v="53.3"/>
    <n v="197"/>
    <n v="7.4"/>
    <n v="4.5999999999999996"/>
    <s v="keep"/>
  </r>
  <r>
    <s v="U0028"/>
    <x v="0"/>
    <x v="1"/>
    <x v="4"/>
    <x v="1"/>
    <n v="6.61"/>
    <n v="0.33"/>
    <n v="6.28"/>
    <n v="8.06"/>
    <n v="2"/>
    <n v="7"/>
    <n v="60"/>
    <n v="227"/>
    <n v="3.5"/>
    <n v="42.8"/>
    <s v="keep"/>
  </r>
  <r>
    <s v="U0029"/>
    <x v="9"/>
    <x v="1"/>
    <x v="0"/>
    <x v="2"/>
    <n v="7.43"/>
    <n v="0.73"/>
    <n v="6.7"/>
    <n v="7.11"/>
    <n v="2"/>
    <n v="7.6"/>
    <n v="61.1"/>
    <n v="164"/>
    <n v="0"/>
    <n v="28.9"/>
    <s v="keep"/>
  </r>
  <r>
    <s v="U0030"/>
    <x v="17"/>
    <x v="0"/>
    <x v="0"/>
    <x v="1"/>
    <n v="9.57"/>
    <n v="0.48"/>
    <n v="9.09"/>
    <n v="7.18"/>
    <n v="1"/>
    <n v="10"/>
    <n v="38"/>
    <n v="81"/>
    <n v="9.1"/>
    <n v="0.9"/>
    <s v="keep"/>
  </r>
  <r>
    <s v="U0031"/>
    <x v="9"/>
    <x v="0"/>
    <x v="0"/>
    <x v="1"/>
    <n v="6.37"/>
    <n v="0.78"/>
    <n v="5.59"/>
    <n v="6.91"/>
    <n v="1"/>
    <n v="8.5"/>
    <n v="52.1"/>
    <n v="0"/>
    <n v="8.9"/>
    <n v="11.1"/>
    <s v="keep"/>
  </r>
  <r>
    <s v="U0032"/>
    <x v="18"/>
    <x v="0"/>
    <x v="1"/>
    <x v="0"/>
    <n v="14.35"/>
    <n v="7.54"/>
    <n v="6.81"/>
    <n v="6.5"/>
    <n v="1"/>
    <n v="10"/>
    <n v="42.6"/>
    <n v="100"/>
    <n v="5.0999999999999996"/>
    <n v="0"/>
    <s v="keep"/>
  </r>
  <r>
    <s v="U0033"/>
    <x v="19"/>
    <x v="1"/>
    <x v="1"/>
    <x v="0"/>
    <n v="6.89"/>
    <n v="1.25"/>
    <n v="5.64"/>
    <n v="7.42"/>
    <n v="1"/>
    <n v="7"/>
    <n v="60.3"/>
    <n v="116"/>
    <n v="0.2"/>
    <n v="17.2"/>
    <s v="keep"/>
  </r>
  <r>
    <s v="U0034"/>
    <x v="10"/>
    <x v="1"/>
    <x v="0"/>
    <x v="2"/>
    <n v="11.38"/>
    <n v="0.56999999999999995"/>
    <n v="10.81"/>
    <n v="7.38"/>
    <n v="1"/>
    <n v="9.9"/>
    <n v="57"/>
    <n v="95"/>
    <n v="11.4"/>
    <n v="2.4"/>
    <s v="keep"/>
  </r>
  <r>
    <s v="U0035"/>
    <x v="4"/>
    <x v="1"/>
    <x v="1"/>
    <x v="1"/>
    <n v="13.05"/>
    <n v="0.65"/>
    <n v="12.4"/>
    <n v="7.28"/>
    <n v="1"/>
    <n v="10"/>
    <n v="39.6"/>
    <n v="86"/>
    <n v="4.2"/>
    <n v="0"/>
    <s v="keep"/>
  </r>
  <r>
    <s v="U0036"/>
    <x v="16"/>
    <x v="0"/>
    <x v="0"/>
    <x v="0"/>
    <n v="7.47"/>
    <n v="3.01"/>
    <n v="4.46"/>
    <n v="7.57"/>
    <n v="1"/>
    <n v="8.4"/>
    <n v="53.6"/>
    <n v="15"/>
    <n v="14.3"/>
    <n v="14.8"/>
    <s v="keep"/>
  </r>
  <r>
    <s v="U0037"/>
    <x v="7"/>
    <x v="0"/>
    <x v="1"/>
    <x v="2"/>
    <n v="9.93"/>
    <n v="1.89"/>
    <n v="8.0399999999999991"/>
    <n v="6.63"/>
    <n v="1"/>
    <n v="9.5"/>
    <n v="45.7"/>
    <n v="138"/>
    <n v="15.2"/>
    <n v="2.2000000000000002"/>
    <s v="keep"/>
  </r>
  <r>
    <s v="U0038"/>
    <x v="8"/>
    <x v="0"/>
    <x v="0"/>
    <x v="2"/>
    <n v="8.08"/>
    <n v="1.25"/>
    <n v="6.83"/>
    <n v="7.64"/>
    <n v="3"/>
    <n v="6.5"/>
    <n v="68.099999999999994"/>
    <n v="147"/>
    <n v="0"/>
    <n v="57.6"/>
    <s v="keep"/>
  </r>
  <r>
    <s v="U0039"/>
    <x v="20"/>
    <x v="0"/>
    <x v="0"/>
    <x v="1"/>
    <n v="7.88"/>
    <n v="0.39"/>
    <n v="7.49"/>
    <n v="7.03"/>
    <n v="1"/>
    <n v="9"/>
    <n v="49.8"/>
    <n v="153"/>
    <n v="7.6"/>
    <n v="17.7"/>
    <s v="keep"/>
  </r>
  <r>
    <s v="U0040"/>
    <x v="7"/>
    <x v="1"/>
    <x v="0"/>
    <x v="0"/>
    <n v="8.81"/>
    <n v="3.92"/>
    <n v="4.8899999999999997"/>
    <n v="6.22"/>
    <n v="1"/>
    <n v="10"/>
    <n v="51.6"/>
    <n v="172"/>
    <n v="5.7"/>
    <n v="12.5"/>
    <s v="keep"/>
  </r>
  <r>
    <s v="U0041"/>
    <x v="2"/>
    <x v="0"/>
    <x v="0"/>
    <x v="1"/>
    <n v="5.65"/>
    <n v="0.36"/>
    <n v="5.29"/>
    <n v="7.28"/>
    <n v="2"/>
    <n v="7.2"/>
    <n v="67.400000000000006"/>
    <n v="169"/>
    <n v="19.399999999999999"/>
    <n v="35.200000000000003"/>
    <s v="keep"/>
  </r>
  <r>
    <s v="U0042"/>
    <x v="7"/>
    <x v="0"/>
    <x v="0"/>
    <x v="1"/>
    <n v="9.31"/>
    <n v="0.65"/>
    <n v="8.66"/>
    <n v="7.08"/>
    <n v="2"/>
    <n v="8.4"/>
    <n v="51.7"/>
    <n v="74"/>
    <n v="1.1000000000000001"/>
    <n v="30.4"/>
    <s v="keep"/>
  </r>
  <r>
    <s v="U0043"/>
    <x v="19"/>
    <x v="1"/>
    <x v="0"/>
    <x v="0"/>
    <n v="7.72"/>
    <n v="5.52"/>
    <n v="2.2000000000000002"/>
    <n v="7.96"/>
    <n v="3"/>
    <n v="3.8"/>
    <n v="77.7"/>
    <n v="106"/>
    <n v="17.5"/>
    <n v="62.2"/>
    <s v="keep"/>
  </r>
  <r>
    <s v="U0044"/>
    <x v="17"/>
    <x v="0"/>
    <x v="0"/>
    <x v="0"/>
    <n v="11.81"/>
    <n v="4.6399999999999997"/>
    <n v="7.17"/>
    <n v="6.45"/>
    <n v="1"/>
    <n v="10"/>
    <n v="37.6"/>
    <n v="92"/>
    <n v="3.5"/>
    <n v="0"/>
    <s v="keep"/>
  </r>
  <r>
    <s v="U0045"/>
    <x v="13"/>
    <x v="0"/>
    <x v="0"/>
    <x v="1"/>
    <n v="6.71"/>
    <n v="0.74"/>
    <n v="5.97"/>
    <n v="6.31"/>
    <n v="1"/>
    <n v="7.4"/>
    <n v="58.8"/>
    <n v="119"/>
    <n v="8"/>
    <n v="23.3"/>
    <s v="keep"/>
  </r>
  <r>
    <s v="U0046"/>
    <x v="21"/>
    <x v="1"/>
    <x v="4"/>
    <x v="0"/>
    <n v="6.1"/>
    <n v="1.57"/>
    <n v="4.53"/>
    <n v="7.47"/>
    <n v="1"/>
    <n v="4.0999999999999996"/>
    <n v="79.599999999999994"/>
    <n v="188"/>
    <n v="8"/>
    <n v="53"/>
    <s v="keep"/>
  </r>
  <r>
    <s v="U0047"/>
    <x v="5"/>
    <x v="0"/>
    <x v="0"/>
    <x v="1"/>
    <n v="7.46"/>
    <n v="1.45"/>
    <n v="6.01"/>
    <n v="7.33"/>
    <n v="2"/>
    <n v="8.9"/>
    <n v="49.2"/>
    <n v="156"/>
    <n v="8.4"/>
    <n v="23.7"/>
    <s v="keep"/>
  </r>
  <r>
    <s v="U0048"/>
    <x v="22"/>
    <x v="1"/>
    <x v="1"/>
    <x v="0"/>
    <n v="14.22"/>
    <n v="7.52"/>
    <n v="6.7"/>
    <n v="6.5"/>
    <n v="1"/>
    <n v="10"/>
    <n v="34.799999999999997"/>
    <n v="222"/>
    <n v="13.9"/>
    <n v="0"/>
    <s v="keep"/>
  </r>
  <r>
    <s v="U0049"/>
    <x v="11"/>
    <x v="1"/>
    <x v="1"/>
    <x v="0"/>
    <n v="9.93"/>
    <n v="3.77"/>
    <n v="6.16"/>
    <n v="7.67"/>
    <n v="2"/>
    <n v="9.3000000000000007"/>
    <n v="52.8"/>
    <n v="254"/>
    <n v="0.5"/>
    <n v="18.5"/>
    <s v="keep"/>
  </r>
  <r>
    <s v="U0050"/>
    <x v="8"/>
    <x v="1"/>
    <x v="0"/>
    <x v="1"/>
    <n v="13.29"/>
    <n v="0.99"/>
    <n v="12.3"/>
    <n v="7.08"/>
    <n v="1"/>
    <n v="10"/>
    <n v="27.1"/>
    <n v="77"/>
    <n v="9.1999999999999993"/>
    <n v="0"/>
    <s v="keep"/>
  </r>
  <r>
    <s v="U0051"/>
    <x v="11"/>
    <x v="0"/>
    <x v="0"/>
    <x v="2"/>
    <n v="6.77"/>
    <n v="0.36"/>
    <n v="6.41"/>
    <n v="6.93"/>
    <n v="1"/>
    <n v="6.5"/>
    <n v="56.8"/>
    <n v="0"/>
    <n v="8.1"/>
    <n v="27.3"/>
    <s v="keep"/>
  </r>
  <r>
    <s v="U0052"/>
    <x v="5"/>
    <x v="1"/>
    <x v="1"/>
    <x v="0"/>
    <n v="10.25"/>
    <n v="5.59"/>
    <n v="4.66"/>
    <n v="6.33"/>
    <n v="1"/>
    <n v="10"/>
    <n v="38.5"/>
    <n v="181"/>
    <n v="5.4"/>
    <n v="0.3"/>
    <s v="keep"/>
  </r>
  <r>
    <s v="U0053"/>
    <x v="21"/>
    <x v="0"/>
    <x v="0"/>
    <x v="2"/>
    <n v="8.75"/>
    <n v="1.6"/>
    <n v="7.15"/>
    <n v="6.2"/>
    <n v="1"/>
    <n v="8.8000000000000007"/>
    <n v="44.9"/>
    <n v="65"/>
    <n v="21.6"/>
    <n v="0"/>
    <s v="keep"/>
  </r>
  <r>
    <s v="U0054"/>
    <x v="6"/>
    <x v="0"/>
    <x v="0"/>
    <x v="2"/>
    <n v="10.130000000000001"/>
    <n v="0.51"/>
    <n v="9.6199999999999992"/>
    <n v="7.48"/>
    <n v="1"/>
    <n v="9.8000000000000007"/>
    <n v="44.8"/>
    <n v="43"/>
    <n v="5.4"/>
    <n v="1.5"/>
    <s v="keep"/>
  </r>
  <r>
    <s v="U0055"/>
    <x v="22"/>
    <x v="0"/>
    <x v="0"/>
    <x v="0"/>
    <n v="9.4700000000000006"/>
    <n v="2.4"/>
    <n v="7.07"/>
    <n v="8.2200000000000006"/>
    <n v="2"/>
    <n v="7.2"/>
    <n v="60"/>
    <n v="77"/>
    <n v="10.199999999999999"/>
    <n v="34.4"/>
    <s v="keep"/>
  </r>
  <r>
    <s v="U0056"/>
    <x v="23"/>
    <x v="2"/>
    <x v="0"/>
    <x v="2"/>
    <n v="7.57"/>
    <n v="0.42"/>
    <n v="7.15"/>
    <n v="7.08"/>
    <n v="2"/>
    <n v="9.4"/>
    <n v="51.7"/>
    <n v="85"/>
    <n v="11.5"/>
    <n v="27.4"/>
    <s v="keep"/>
  </r>
  <r>
    <s v="U0057"/>
    <x v="24"/>
    <x v="0"/>
    <x v="1"/>
    <x v="1"/>
    <n v="6.76"/>
    <n v="0.55000000000000004"/>
    <n v="6.21"/>
    <n v="7.12"/>
    <n v="2"/>
    <n v="5.6"/>
    <n v="74"/>
    <n v="157"/>
    <n v="1"/>
    <n v="39.1"/>
    <s v="keep"/>
  </r>
  <r>
    <s v="U0058"/>
    <x v="17"/>
    <x v="0"/>
    <x v="1"/>
    <x v="0"/>
    <n v="7.82"/>
    <n v="2.5"/>
    <n v="5.32"/>
    <n v="8.3699999999999992"/>
    <n v="3"/>
    <n v="6.9"/>
    <n v="81"/>
    <n v="0"/>
    <n v="18.8"/>
    <n v="44.1"/>
    <s v="keep"/>
  </r>
  <r>
    <s v="U0059"/>
    <x v="11"/>
    <x v="1"/>
    <x v="0"/>
    <x v="2"/>
    <n v="11.49"/>
    <n v="1.1000000000000001"/>
    <n v="10.39"/>
    <n v="7.1"/>
    <n v="2"/>
    <n v="7.2"/>
    <n v="67.8"/>
    <n v="15"/>
    <n v="0"/>
    <n v="29.9"/>
    <s v="keep"/>
  </r>
  <r>
    <s v="U0060"/>
    <x v="23"/>
    <x v="0"/>
    <x v="0"/>
    <x v="2"/>
    <n v="8.89"/>
    <n v="1.91"/>
    <n v="6.98"/>
    <n v="7.49"/>
    <n v="2"/>
    <n v="9.6999999999999993"/>
    <n v="40.299999999999997"/>
    <n v="132"/>
    <n v="6.1"/>
    <n v="19.8"/>
    <s v="keep"/>
  </r>
  <r>
    <s v="U0061"/>
    <x v="5"/>
    <x v="0"/>
    <x v="0"/>
    <x v="1"/>
    <n v="10.09"/>
    <n v="0.68"/>
    <n v="9.41"/>
    <n v="5.89"/>
    <n v="1"/>
    <n v="10"/>
    <n v="46.3"/>
    <n v="139"/>
    <n v="5.6"/>
    <n v="4.5"/>
    <s v="keep"/>
  </r>
  <r>
    <s v="U0062"/>
    <x v="1"/>
    <x v="0"/>
    <x v="0"/>
    <x v="0"/>
    <n v="9.02"/>
    <n v="2.67"/>
    <n v="6.35"/>
    <n v="7.57"/>
    <n v="1"/>
    <n v="9.4"/>
    <n v="45.8"/>
    <n v="148"/>
    <n v="7.9"/>
    <n v="2.2999999999999998"/>
    <s v="keep"/>
  </r>
  <r>
    <s v="U0063"/>
    <x v="10"/>
    <x v="0"/>
    <x v="1"/>
    <x v="1"/>
    <n v="11.16"/>
    <n v="1.46"/>
    <n v="9.6999999999999993"/>
    <n v="5.89"/>
    <n v="1"/>
    <n v="10"/>
    <n v="42.2"/>
    <n v="31"/>
    <n v="2.8"/>
    <n v="3.8"/>
    <s v="keep"/>
  </r>
  <r>
    <s v="U0064"/>
    <x v="16"/>
    <x v="0"/>
    <x v="2"/>
    <x v="2"/>
    <n v="7.3"/>
    <n v="1.65"/>
    <n v="5.65"/>
    <n v="6.3"/>
    <n v="1"/>
    <n v="8.4"/>
    <n v="51.1"/>
    <n v="41"/>
    <n v="7.7"/>
    <n v="9.8000000000000007"/>
    <s v="keep"/>
  </r>
  <r>
    <s v="U0065"/>
    <x v="4"/>
    <x v="0"/>
    <x v="0"/>
    <x v="0"/>
    <n v="6.95"/>
    <n v="3.9"/>
    <n v="3.05"/>
    <n v="7.14"/>
    <n v="1"/>
    <n v="10"/>
    <n v="48.3"/>
    <n v="84"/>
    <n v="7.9"/>
    <n v="0"/>
    <s v="keep"/>
  </r>
  <r>
    <s v="U0066"/>
    <x v="25"/>
    <x v="1"/>
    <x v="0"/>
    <x v="0"/>
    <n v="5.5"/>
    <n v="2.5"/>
    <n v="3"/>
    <n v="7.21"/>
    <n v="2"/>
    <n v="2.6"/>
    <n v="86.3"/>
    <n v="147"/>
    <n v="2.2000000000000002"/>
    <n v="60.6"/>
    <s v="keep"/>
  </r>
  <r>
    <s v="U0067"/>
    <x v="19"/>
    <x v="0"/>
    <x v="0"/>
    <x v="0"/>
    <n v="11.02"/>
    <n v="1.59"/>
    <n v="9.43"/>
    <n v="6.56"/>
    <n v="1"/>
    <n v="10"/>
    <n v="38"/>
    <n v="195"/>
    <n v="0"/>
    <n v="13.2"/>
    <s v="keep"/>
  </r>
  <r>
    <s v="U0068"/>
    <x v="22"/>
    <x v="0"/>
    <x v="0"/>
    <x v="2"/>
    <n v="8.4700000000000006"/>
    <n v="0.94"/>
    <n v="7.53"/>
    <n v="6.06"/>
    <n v="1"/>
    <n v="7.4"/>
    <n v="50.3"/>
    <n v="0"/>
    <n v="10"/>
    <n v="18.2"/>
    <s v="keep"/>
  </r>
  <r>
    <s v="U0069"/>
    <x v="11"/>
    <x v="1"/>
    <x v="0"/>
    <x v="2"/>
    <n v="6.92"/>
    <n v="1.07"/>
    <n v="5.85"/>
    <n v="8.15"/>
    <n v="3"/>
    <n v="5.0999999999999996"/>
    <n v="76.5"/>
    <n v="102"/>
    <n v="11.5"/>
    <n v="57"/>
    <s v="keep"/>
  </r>
  <r>
    <s v="U0070"/>
    <x v="21"/>
    <x v="0"/>
    <x v="1"/>
    <x v="1"/>
    <n v="8.23"/>
    <n v="0.45"/>
    <n v="7.78"/>
    <n v="8.01"/>
    <n v="2"/>
    <n v="7"/>
    <n v="65.099999999999994"/>
    <n v="12"/>
    <n v="17.2"/>
    <n v="30.6"/>
    <s v="keep"/>
  </r>
  <r>
    <s v="U0071"/>
    <x v="11"/>
    <x v="1"/>
    <x v="4"/>
    <x v="2"/>
    <n v="7.88"/>
    <n v="0.39"/>
    <n v="7.49"/>
    <n v="5.68"/>
    <n v="1"/>
    <n v="7.7"/>
    <n v="59"/>
    <n v="0"/>
    <n v="4.5"/>
    <n v="19.600000000000001"/>
    <s v="keep"/>
  </r>
  <r>
    <s v="U0072"/>
    <x v="3"/>
    <x v="0"/>
    <x v="1"/>
    <x v="0"/>
    <n v="13.44"/>
    <n v="6.68"/>
    <n v="6.76"/>
    <n v="7.29"/>
    <n v="1"/>
    <n v="10"/>
    <n v="43"/>
    <n v="151"/>
    <n v="12.5"/>
    <n v="5.4"/>
    <s v="keep"/>
  </r>
  <r>
    <s v="U0073"/>
    <x v="19"/>
    <x v="0"/>
    <x v="4"/>
    <x v="2"/>
    <n v="5.41"/>
    <n v="0.44"/>
    <n v="4.97"/>
    <n v="6.93"/>
    <n v="1"/>
    <n v="4.5999999999999996"/>
    <n v="68.5"/>
    <n v="163"/>
    <n v="5.5"/>
    <n v="43"/>
    <s v="keep"/>
  </r>
  <r>
    <s v="U0074"/>
    <x v="3"/>
    <x v="0"/>
    <x v="0"/>
    <x v="1"/>
    <n v="8.6"/>
    <n v="1.6"/>
    <n v="7"/>
    <n v="7.92"/>
    <n v="2"/>
    <n v="9.1999999999999993"/>
    <n v="56"/>
    <n v="144"/>
    <n v="15.5"/>
    <n v="21.4"/>
    <s v="keep"/>
  </r>
  <r>
    <s v="U0075"/>
    <x v="8"/>
    <x v="0"/>
    <x v="1"/>
    <x v="0"/>
    <n v="9.1300000000000008"/>
    <n v="4.07"/>
    <n v="5.0599999999999996"/>
    <n v="6.84"/>
    <n v="2"/>
    <n v="5.4"/>
    <n v="74.5"/>
    <n v="161"/>
    <n v="12.8"/>
    <n v="52.8"/>
    <s v="keep"/>
  </r>
  <r>
    <s v="U0076"/>
    <x v="4"/>
    <x v="0"/>
    <x v="0"/>
    <x v="0"/>
    <n v="9.26"/>
    <n v="4.57"/>
    <n v="4.6900000000000004"/>
    <n v="7.09"/>
    <n v="1"/>
    <n v="10"/>
    <n v="51.1"/>
    <n v="72"/>
    <n v="9.9"/>
    <n v="5.0999999999999996"/>
    <s v="keep"/>
  </r>
  <r>
    <s v="U0077"/>
    <x v="15"/>
    <x v="0"/>
    <x v="2"/>
    <x v="0"/>
    <n v="6.61"/>
    <n v="1.82"/>
    <n v="4.79"/>
    <n v="7.26"/>
    <n v="1"/>
    <n v="6.8"/>
    <n v="60.5"/>
    <n v="88"/>
    <n v="6"/>
    <n v="19.3"/>
    <s v="keep"/>
  </r>
  <r>
    <s v="U0078"/>
    <x v="17"/>
    <x v="0"/>
    <x v="0"/>
    <x v="1"/>
    <n v="3.93"/>
    <n v="1.02"/>
    <n v="2.91"/>
    <n v="8.75"/>
    <n v="2"/>
    <n v="2.2000000000000002"/>
    <n v="88"/>
    <n v="286"/>
    <n v="16.600000000000001"/>
    <n v="68.400000000000006"/>
    <s v="keep"/>
  </r>
  <r>
    <s v="U0079"/>
    <x v="15"/>
    <x v="0"/>
    <x v="2"/>
    <x v="2"/>
    <n v="11.75"/>
    <n v="0.88"/>
    <n v="10.87"/>
    <n v="5.65"/>
    <n v="1"/>
    <n v="10"/>
    <n v="41.5"/>
    <n v="70"/>
    <n v="10.3"/>
    <n v="0"/>
    <s v="keep"/>
  </r>
  <r>
    <s v="U0080"/>
    <x v="8"/>
    <x v="0"/>
    <x v="0"/>
    <x v="2"/>
    <n v="7.58"/>
    <n v="0.38"/>
    <n v="7.2"/>
    <n v="7.61"/>
    <n v="2"/>
    <n v="4.5"/>
    <n v="67.7"/>
    <n v="157"/>
    <n v="3.4"/>
    <n v="61.4"/>
    <s v="keep"/>
  </r>
  <r>
    <s v="U0081"/>
    <x v="1"/>
    <x v="0"/>
    <x v="0"/>
    <x v="1"/>
    <n v="9.14"/>
    <n v="1.99"/>
    <n v="7.15"/>
    <n v="7.89"/>
    <n v="1"/>
    <n v="9.4"/>
    <n v="45.5"/>
    <n v="103"/>
    <n v="0.9"/>
    <n v="11.7"/>
    <s v="keep"/>
  </r>
  <r>
    <s v="U0082"/>
    <x v="11"/>
    <x v="0"/>
    <x v="2"/>
    <x v="1"/>
    <n v="5.44"/>
    <n v="0.45"/>
    <n v="4.99"/>
    <n v="8.18"/>
    <n v="2"/>
    <n v="3"/>
    <n v="88.3"/>
    <n v="0"/>
    <n v="7.1"/>
    <n v="56.1"/>
    <s v="keep"/>
  </r>
  <r>
    <s v="U0083"/>
    <x v="14"/>
    <x v="0"/>
    <x v="1"/>
    <x v="0"/>
    <n v="9.86"/>
    <n v="6.39"/>
    <n v="3.47"/>
    <n v="8.89"/>
    <n v="3"/>
    <n v="8.1999999999999993"/>
    <n v="66.3"/>
    <n v="0"/>
    <n v="15.8"/>
    <n v="32.6"/>
    <s v="keep"/>
  </r>
  <r>
    <s v="U0084"/>
    <x v="9"/>
    <x v="1"/>
    <x v="0"/>
    <x v="1"/>
    <n v="8.0500000000000007"/>
    <n v="1.1000000000000001"/>
    <n v="6.95"/>
    <n v="6.72"/>
    <n v="1"/>
    <n v="7.1"/>
    <n v="55.9"/>
    <n v="67"/>
    <n v="11.4"/>
    <n v="17.5"/>
    <s v="keep"/>
  </r>
  <r>
    <s v="U0085"/>
    <x v="24"/>
    <x v="0"/>
    <x v="1"/>
    <x v="0"/>
    <n v="7.04"/>
    <n v="3.5"/>
    <n v="3.54"/>
    <n v="8.0399999999999991"/>
    <n v="3"/>
    <n v="4.5999999999999996"/>
    <n v="82.3"/>
    <n v="186"/>
    <n v="2.8"/>
    <n v="72.599999999999994"/>
    <s v="keep"/>
  </r>
  <r>
    <s v="U0086"/>
    <x v="9"/>
    <x v="1"/>
    <x v="3"/>
    <x v="0"/>
    <n v="6.32"/>
    <n v="1.72"/>
    <n v="4.5999999999999996"/>
    <n v="7.32"/>
    <n v="2"/>
    <n v="6.3"/>
    <n v="64.400000000000006"/>
    <n v="173"/>
    <n v="3.6"/>
    <n v="30.8"/>
    <s v="keep"/>
  </r>
  <r>
    <s v="U0087"/>
    <x v="23"/>
    <x v="1"/>
    <x v="4"/>
    <x v="0"/>
    <n v="10.3"/>
    <n v="2.73"/>
    <n v="7.57"/>
    <n v="7.91"/>
    <n v="1"/>
    <n v="9.1"/>
    <n v="50.4"/>
    <n v="164"/>
    <n v="13.5"/>
    <n v="12.2"/>
    <s v="keep"/>
  </r>
  <r>
    <s v="U0088"/>
    <x v="11"/>
    <x v="0"/>
    <x v="1"/>
    <x v="0"/>
    <n v="9.24"/>
    <n v="2.5299999999999998"/>
    <n v="6.71"/>
    <n v="7.03"/>
    <n v="1"/>
    <n v="9.3000000000000007"/>
    <n v="46.5"/>
    <n v="34"/>
    <n v="4.5"/>
    <n v="5"/>
    <s v="keep"/>
  </r>
  <r>
    <s v="U0089"/>
    <x v="9"/>
    <x v="1"/>
    <x v="0"/>
    <x v="2"/>
    <n v="8.2899999999999991"/>
    <n v="1"/>
    <n v="7.29"/>
    <n v="6.8"/>
    <n v="1"/>
    <n v="6.4"/>
    <n v="58.3"/>
    <n v="219"/>
    <n v="12"/>
    <n v="34.5"/>
    <s v="keep"/>
  </r>
  <r>
    <s v="U0090"/>
    <x v="6"/>
    <x v="1"/>
    <x v="4"/>
    <x v="1"/>
    <n v="5.52"/>
    <n v="0.92"/>
    <n v="4.5999999999999996"/>
    <n v="8.66"/>
    <n v="2"/>
    <n v="6.2"/>
    <n v="68.7"/>
    <n v="59"/>
    <n v="5.9"/>
    <n v="38.1"/>
    <s v="keep"/>
  </r>
  <r>
    <s v="U0091"/>
    <x v="15"/>
    <x v="0"/>
    <x v="1"/>
    <x v="0"/>
    <n v="9.1300000000000008"/>
    <n v="2.42"/>
    <n v="6.71"/>
    <n v="6.64"/>
    <n v="1"/>
    <n v="10"/>
    <n v="43.9"/>
    <n v="118"/>
    <n v="16.100000000000001"/>
    <n v="0"/>
    <s v="keep"/>
  </r>
  <r>
    <s v="U0092"/>
    <x v="23"/>
    <x v="0"/>
    <x v="0"/>
    <x v="0"/>
    <n v="9.81"/>
    <n v="2.46"/>
    <n v="7.35"/>
    <n v="5.87"/>
    <n v="1"/>
    <n v="10"/>
    <n v="40.6"/>
    <n v="102"/>
    <n v="4"/>
    <n v="0"/>
    <s v="keep"/>
  </r>
  <r>
    <s v="U0093"/>
    <x v="21"/>
    <x v="1"/>
    <x v="4"/>
    <x v="2"/>
    <n v="7.75"/>
    <n v="0.96"/>
    <n v="6.79"/>
    <n v="6.76"/>
    <n v="1"/>
    <n v="8.3000000000000007"/>
    <n v="57.1"/>
    <n v="96"/>
    <n v="14.6"/>
    <n v="10.7"/>
    <s v="keep"/>
  </r>
  <r>
    <s v="U0094"/>
    <x v="17"/>
    <x v="1"/>
    <x v="1"/>
    <x v="1"/>
    <n v="7.05"/>
    <n v="0.62"/>
    <n v="6.43"/>
    <n v="7.81"/>
    <n v="1"/>
    <n v="8.8000000000000007"/>
    <n v="49.9"/>
    <n v="208"/>
    <n v="5.7"/>
    <n v="14.4"/>
    <s v="keep"/>
  </r>
  <r>
    <s v="U0096"/>
    <x v="13"/>
    <x v="0"/>
    <x v="0"/>
    <x v="2"/>
    <n v="10.17"/>
    <n v="1.01"/>
    <n v="9.16"/>
    <n v="6.84"/>
    <n v="1"/>
    <n v="10"/>
    <n v="51.5"/>
    <n v="0"/>
    <n v="0"/>
    <n v="0"/>
    <s v="keep"/>
  </r>
  <r>
    <s v="U0097"/>
    <x v="11"/>
    <x v="0"/>
    <x v="4"/>
    <x v="0"/>
    <n v="7.94"/>
    <n v="2.93"/>
    <n v="5.01"/>
    <n v="8.2799999999999994"/>
    <n v="2"/>
    <n v="8.3000000000000007"/>
    <n v="53.5"/>
    <n v="113"/>
    <n v="0"/>
    <n v="18.7"/>
    <s v="keep"/>
  </r>
  <r>
    <s v="U0098"/>
    <x v="11"/>
    <x v="0"/>
    <x v="3"/>
    <x v="0"/>
    <n v="9.58"/>
    <n v="3.64"/>
    <n v="5.94"/>
    <n v="5.9"/>
    <n v="1"/>
    <n v="8.9"/>
    <n v="48.4"/>
    <n v="74"/>
    <n v="6.1"/>
    <n v="6.1"/>
    <s v="keep"/>
  </r>
  <r>
    <s v="U0099"/>
    <x v="15"/>
    <x v="1"/>
    <x v="4"/>
    <x v="1"/>
    <n v="3.69"/>
    <n v="0.67"/>
    <n v="3.02"/>
    <n v="7.49"/>
    <n v="1"/>
    <n v="6.8"/>
    <n v="61.4"/>
    <n v="372"/>
    <n v="10.6"/>
    <n v="30.3"/>
    <s v="keep"/>
  </r>
  <r>
    <s v="U0100"/>
    <x v="1"/>
    <x v="0"/>
    <x v="0"/>
    <x v="1"/>
    <n v="7.58"/>
    <n v="0.38"/>
    <n v="7.2"/>
    <n v="7.01"/>
    <n v="1"/>
    <n v="7.7"/>
    <n v="53.9"/>
    <n v="159"/>
    <n v="4.3"/>
    <n v="24.2"/>
    <s v="keep"/>
  </r>
  <r>
    <s v="U0101"/>
    <x v="13"/>
    <x v="0"/>
    <x v="2"/>
    <x v="0"/>
    <n v="9.82"/>
    <n v="5.22"/>
    <n v="4.5999999999999996"/>
    <n v="6.72"/>
    <n v="1"/>
    <n v="9.1999999999999993"/>
    <n v="58.5"/>
    <n v="64"/>
    <n v="2.7"/>
    <n v="10.7"/>
    <s v="keep"/>
  </r>
  <r>
    <s v="U0102"/>
    <x v="5"/>
    <x v="1"/>
    <x v="2"/>
    <x v="1"/>
    <n v="8.5299999999999994"/>
    <n v="0.43"/>
    <n v="8.1"/>
    <n v="7.15"/>
    <n v="1"/>
    <n v="9.5"/>
    <n v="45.4"/>
    <n v="31"/>
    <n v="8.3000000000000007"/>
    <n v="6.7"/>
    <s v="keep"/>
  </r>
  <r>
    <s v="U0103"/>
    <x v="17"/>
    <x v="0"/>
    <x v="0"/>
    <x v="2"/>
    <n v="7.32"/>
    <n v="0.61"/>
    <n v="6.71"/>
    <n v="7.82"/>
    <n v="2"/>
    <n v="5.0999999999999996"/>
    <n v="74.8"/>
    <n v="0"/>
    <n v="10.9"/>
    <n v="41.4"/>
    <s v="keep"/>
  </r>
  <r>
    <s v="U0104"/>
    <x v="24"/>
    <x v="0"/>
    <x v="2"/>
    <x v="1"/>
    <n v="4.3"/>
    <n v="0.48"/>
    <n v="3.82"/>
    <n v="7.33"/>
    <n v="1"/>
    <n v="7"/>
    <n v="66.8"/>
    <n v="57"/>
    <n v="8.1"/>
    <n v="27.3"/>
    <s v="keep"/>
  </r>
  <r>
    <s v="U0105"/>
    <x v="1"/>
    <x v="1"/>
    <x v="1"/>
    <x v="0"/>
    <n v="12.51"/>
    <n v="6.79"/>
    <n v="5.72"/>
    <n v="6.61"/>
    <n v="1"/>
    <n v="10"/>
    <n v="33.200000000000003"/>
    <n v="90"/>
    <n v="6.6"/>
    <n v="2.9"/>
    <s v="keep"/>
  </r>
  <r>
    <s v="U0106"/>
    <x v="0"/>
    <x v="1"/>
    <x v="0"/>
    <x v="2"/>
    <n v="4.8899999999999997"/>
    <n v="0.62"/>
    <n v="4.2699999999999996"/>
    <n v="7.66"/>
    <n v="1"/>
    <n v="4.3"/>
    <n v="68.3"/>
    <n v="230"/>
    <n v="2"/>
    <n v="39.9"/>
    <s v="keep"/>
  </r>
  <r>
    <s v="U0107"/>
    <x v="26"/>
    <x v="0"/>
    <x v="1"/>
    <x v="0"/>
    <n v="11.1"/>
    <n v="4.95"/>
    <n v="6.15"/>
    <n v="6.14"/>
    <n v="1"/>
    <n v="9.5"/>
    <n v="36.1"/>
    <n v="177"/>
    <n v="4.5999999999999996"/>
    <n v="8.8000000000000007"/>
    <s v="keep"/>
  </r>
  <r>
    <s v="U0108"/>
    <x v="7"/>
    <x v="1"/>
    <x v="1"/>
    <x v="2"/>
    <n v="10.84"/>
    <n v="0.57999999999999996"/>
    <n v="10.26"/>
    <n v="6.69"/>
    <n v="1"/>
    <n v="10"/>
    <n v="36.4"/>
    <n v="109"/>
    <n v="14.9"/>
    <n v="0.3"/>
    <s v="keep"/>
  </r>
  <r>
    <s v="U0109"/>
    <x v="11"/>
    <x v="0"/>
    <x v="1"/>
    <x v="0"/>
    <n v="13.9"/>
    <n v="5.84"/>
    <n v="8.06"/>
    <n v="6.22"/>
    <n v="2"/>
    <n v="10"/>
    <n v="26"/>
    <n v="53"/>
    <n v="3"/>
    <n v="8.6999999999999993"/>
    <s v="keep"/>
  </r>
  <r>
    <s v="U0110"/>
    <x v="19"/>
    <x v="0"/>
    <x v="0"/>
    <x v="0"/>
    <n v="12.05"/>
    <n v="2.66"/>
    <n v="9.39"/>
    <n v="6.45"/>
    <n v="1"/>
    <n v="9.6"/>
    <n v="44.8"/>
    <n v="104"/>
    <n v="9.3000000000000007"/>
    <n v="4.0999999999999996"/>
    <s v="keep"/>
  </r>
  <r>
    <s v="U0111"/>
    <x v="8"/>
    <x v="1"/>
    <x v="0"/>
    <x v="2"/>
    <n v="6.34"/>
    <n v="0.35"/>
    <n v="5.99"/>
    <n v="7.33"/>
    <n v="2"/>
    <n v="5"/>
    <n v="86.8"/>
    <n v="77"/>
    <n v="20"/>
    <n v="54.7"/>
    <s v="keep"/>
  </r>
  <r>
    <s v="U0112"/>
    <x v="19"/>
    <x v="0"/>
    <x v="0"/>
    <x v="1"/>
    <n v="11.04"/>
    <n v="0.85"/>
    <n v="10.19"/>
    <n v="6.79"/>
    <n v="1"/>
    <n v="10"/>
    <n v="42.3"/>
    <n v="212"/>
    <n v="0"/>
    <n v="4.7"/>
    <s v="keep"/>
  </r>
  <r>
    <s v="U0113"/>
    <x v="15"/>
    <x v="0"/>
    <x v="1"/>
    <x v="0"/>
    <n v="11.19"/>
    <n v="5.16"/>
    <n v="6.03"/>
    <n v="6.38"/>
    <n v="1"/>
    <n v="9.1999999999999993"/>
    <n v="35.9"/>
    <n v="78"/>
    <n v="11.5"/>
    <n v="2.5"/>
    <s v="keep"/>
  </r>
  <r>
    <s v="U0114"/>
    <x v="27"/>
    <x v="0"/>
    <x v="0"/>
    <x v="2"/>
    <n v="10.050000000000001"/>
    <n v="0.5"/>
    <n v="9.5500000000000007"/>
    <n v="8.1"/>
    <n v="2"/>
    <n v="7.1"/>
    <n v="56.7"/>
    <n v="101"/>
    <n v="13.9"/>
    <n v="32"/>
    <s v="keep"/>
  </r>
  <r>
    <s v="U0115"/>
    <x v="1"/>
    <x v="0"/>
    <x v="0"/>
    <x v="1"/>
    <n v="11.94"/>
    <n v="0.6"/>
    <n v="11.34"/>
    <n v="5.65"/>
    <n v="1"/>
    <n v="10"/>
    <n v="37.299999999999997"/>
    <n v="0"/>
    <n v="5.7"/>
    <n v="0.9"/>
    <s v="keep"/>
  </r>
  <r>
    <s v="U0116"/>
    <x v="11"/>
    <x v="0"/>
    <x v="0"/>
    <x v="0"/>
    <n v="7.8"/>
    <n v="4.17"/>
    <n v="3.63"/>
    <n v="6.67"/>
    <n v="1"/>
    <n v="6.9"/>
    <n v="52.6"/>
    <n v="99"/>
    <n v="11.6"/>
    <n v="14.3"/>
    <s v="keep"/>
  </r>
  <r>
    <s v="U0117"/>
    <x v="19"/>
    <x v="0"/>
    <x v="0"/>
    <x v="2"/>
    <n v="11.23"/>
    <n v="2.25"/>
    <n v="8.98"/>
    <n v="8.93"/>
    <n v="2"/>
    <n v="9.3000000000000007"/>
    <n v="55.1"/>
    <n v="149"/>
    <n v="0"/>
    <n v="28.6"/>
    <s v="keep"/>
  </r>
  <r>
    <s v="U0118"/>
    <x v="16"/>
    <x v="0"/>
    <x v="0"/>
    <x v="2"/>
    <n v="8.6999999999999993"/>
    <n v="1.4"/>
    <n v="7.3"/>
    <n v="6.16"/>
    <n v="1"/>
    <n v="8.4"/>
    <n v="56.2"/>
    <n v="26"/>
    <n v="5.4"/>
    <n v="2.7"/>
    <s v="keep"/>
  </r>
  <r>
    <s v="U0120"/>
    <x v="4"/>
    <x v="1"/>
    <x v="0"/>
    <x v="0"/>
    <n v="10.119999999999999"/>
    <n v="4.82"/>
    <n v="5.3"/>
    <n v="7.53"/>
    <n v="1"/>
    <n v="10"/>
    <n v="47.2"/>
    <n v="156"/>
    <n v="12.6"/>
    <n v="5"/>
    <s v="keep"/>
  </r>
  <r>
    <s v="U0121"/>
    <x v="4"/>
    <x v="1"/>
    <x v="1"/>
    <x v="2"/>
    <n v="10.039999999999999"/>
    <n v="2.11"/>
    <n v="7.93"/>
    <n v="5.29"/>
    <n v="1"/>
    <n v="10"/>
    <n v="52.1"/>
    <n v="0"/>
    <n v="14.6"/>
    <n v="6.1"/>
    <s v="keep"/>
  </r>
  <r>
    <s v="U0122"/>
    <x v="12"/>
    <x v="1"/>
    <x v="1"/>
    <x v="1"/>
    <n v="6.42"/>
    <n v="0.32"/>
    <n v="6.1"/>
    <n v="7.17"/>
    <n v="1"/>
    <n v="6.7"/>
    <n v="73"/>
    <n v="190"/>
    <n v="15.4"/>
    <n v="42.7"/>
    <s v="keep"/>
  </r>
  <r>
    <s v="U0123"/>
    <x v="14"/>
    <x v="1"/>
    <x v="2"/>
    <x v="1"/>
    <n v="9.58"/>
    <n v="2.08"/>
    <n v="7.5"/>
    <n v="8.7899999999999991"/>
    <n v="2"/>
    <n v="6.6"/>
    <n v="80.400000000000006"/>
    <n v="69"/>
    <n v="3.8"/>
    <n v="30.5"/>
    <s v="keep"/>
  </r>
  <r>
    <s v="U0124"/>
    <x v="13"/>
    <x v="0"/>
    <x v="1"/>
    <x v="2"/>
    <n v="7.77"/>
    <n v="1.17"/>
    <n v="6.6"/>
    <n v="5.88"/>
    <n v="1"/>
    <n v="10"/>
    <n v="40.9"/>
    <n v="78"/>
    <n v="17"/>
    <n v="0"/>
    <s v="keep"/>
  </r>
  <r>
    <s v="U0125"/>
    <x v="6"/>
    <x v="0"/>
    <x v="2"/>
    <x v="2"/>
    <n v="7.85"/>
    <n v="1.44"/>
    <n v="6.41"/>
    <n v="5.68"/>
    <n v="1"/>
    <n v="8.1"/>
    <n v="70.8"/>
    <n v="34"/>
    <n v="10.5"/>
    <n v="8.6999999999999993"/>
    <s v="keep"/>
  </r>
  <r>
    <s v="U0126"/>
    <x v="28"/>
    <x v="1"/>
    <x v="0"/>
    <x v="2"/>
    <n v="6"/>
    <n v="0.3"/>
    <n v="5.7"/>
    <n v="6.47"/>
    <n v="1"/>
    <n v="9.4"/>
    <n v="49.3"/>
    <n v="157"/>
    <n v="16.399999999999999"/>
    <n v="9.6"/>
    <s v="keep"/>
  </r>
  <r>
    <s v="U0127"/>
    <x v="12"/>
    <x v="1"/>
    <x v="4"/>
    <x v="1"/>
    <n v="9.23"/>
    <n v="0.73"/>
    <n v="8.5"/>
    <n v="7.65"/>
    <n v="2"/>
    <n v="4.8"/>
    <n v="67.400000000000006"/>
    <n v="271"/>
    <n v="7.9"/>
    <n v="52.1"/>
    <s v="keep"/>
  </r>
  <r>
    <s v="U0128"/>
    <x v="9"/>
    <x v="1"/>
    <x v="0"/>
    <x v="2"/>
    <n v="11.27"/>
    <n v="1.99"/>
    <n v="9.2799999999999994"/>
    <n v="7.56"/>
    <n v="3"/>
    <n v="8.9"/>
    <n v="59.5"/>
    <n v="143"/>
    <n v="6.6"/>
    <n v="41.2"/>
    <s v="keep"/>
  </r>
  <r>
    <s v="U0129"/>
    <x v="15"/>
    <x v="0"/>
    <x v="3"/>
    <x v="0"/>
    <n v="9.0500000000000007"/>
    <n v="5.35"/>
    <n v="3.7"/>
    <n v="6.63"/>
    <n v="1"/>
    <n v="10"/>
    <n v="40.9"/>
    <n v="43"/>
    <n v="7.6"/>
    <n v="0.9"/>
    <s v="keep"/>
  </r>
  <r>
    <s v="U0130"/>
    <x v="9"/>
    <x v="0"/>
    <x v="0"/>
    <x v="1"/>
    <n v="8.07"/>
    <n v="0.75"/>
    <n v="7.32"/>
    <n v="7.69"/>
    <n v="1"/>
    <n v="7.9"/>
    <n v="56.7"/>
    <n v="187"/>
    <n v="0"/>
    <n v="26.9"/>
    <s v="keep"/>
  </r>
  <r>
    <s v="U0131"/>
    <x v="29"/>
    <x v="0"/>
    <x v="0"/>
    <x v="2"/>
    <n v="5.52"/>
    <n v="1.1599999999999999"/>
    <n v="4.3600000000000003"/>
    <n v="8.5500000000000007"/>
    <n v="3"/>
    <n v="3.7"/>
    <n v="79"/>
    <n v="96"/>
    <n v="3.2"/>
    <n v="67.8"/>
    <s v="keep"/>
  </r>
  <r>
    <s v="U0132"/>
    <x v="15"/>
    <x v="0"/>
    <x v="0"/>
    <x v="2"/>
    <n v="10.27"/>
    <n v="0.96"/>
    <n v="9.31"/>
    <n v="8.2899999999999991"/>
    <n v="3"/>
    <n v="8.3000000000000007"/>
    <n v="60"/>
    <n v="193"/>
    <n v="10.8"/>
    <n v="33.5"/>
    <s v="keep"/>
  </r>
  <r>
    <s v="U0133"/>
    <x v="10"/>
    <x v="1"/>
    <x v="0"/>
    <x v="0"/>
    <n v="9.59"/>
    <n v="4.62"/>
    <n v="4.97"/>
    <n v="6.67"/>
    <n v="1"/>
    <n v="8.8000000000000007"/>
    <n v="56.1"/>
    <n v="152"/>
    <n v="0"/>
    <n v="6.5"/>
    <s v="keep"/>
  </r>
  <r>
    <s v="U0134"/>
    <x v="0"/>
    <x v="1"/>
    <x v="0"/>
    <x v="2"/>
    <n v="12.19"/>
    <n v="2.56"/>
    <n v="9.6300000000000008"/>
    <n v="4.76"/>
    <n v="1"/>
    <n v="10"/>
    <n v="39.4"/>
    <n v="0"/>
    <n v="11.1"/>
    <n v="0.2"/>
    <s v="keep"/>
  </r>
  <r>
    <s v="U0135"/>
    <x v="12"/>
    <x v="0"/>
    <x v="2"/>
    <x v="0"/>
    <n v="6.09"/>
    <n v="3.86"/>
    <n v="2.23"/>
    <n v="6.75"/>
    <n v="1"/>
    <n v="6.4"/>
    <n v="64.099999999999994"/>
    <n v="47"/>
    <n v="15.9"/>
    <n v="18.600000000000001"/>
    <s v="keep"/>
  </r>
  <r>
    <s v="U0136"/>
    <x v="3"/>
    <x v="2"/>
    <x v="3"/>
    <x v="2"/>
    <n v="5.87"/>
    <n v="0.31"/>
    <n v="5.56"/>
    <n v="7.3"/>
    <n v="1"/>
    <n v="5.8"/>
    <n v="68.8"/>
    <n v="195"/>
    <n v="9.6999999999999993"/>
    <n v="43.9"/>
    <s v="keep"/>
  </r>
  <r>
    <s v="U0137"/>
    <x v="24"/>
    <x v="1"/>
    <x v="0"/>
    <x v="0"/>
    <n v="9.65"/>
    <n v="3.25"/>
    <n v="6.4"/>
    <n v="6.68"/>
    <n v="1"/>
    <n v="10"/>
    <n v="50.5"/>
    <n v="107"/>
    <n v="5.8"/>
    <n v="4.7"/>
    <s v="keep"/>
  </r>
  <r>
    <s v="U0138"/>
    <x v="17"/>
    <x v="0"/>
    <x v="0"/>
    <x v="2"/>
    <n v="9.1300000000000008"/>
    <n v="1.44"/>
    <n v="7.69"/>
    <n v="6.85"/>
    <n v="1"/>
    <n v="10"/>
    <n v="34.4"/>
    <n v="30"/>
    <n v="18.399999999999999"/>
    <n v="4.4000000000000004"/>
    <s v="keep"/>
  </r>
  <r>
    <s v="U0139"/>
    <x v="4"/>
    <x v="0"/>
    <x v="0"/>
    <x v="1"/>
    <n v="5.07"/>
    <n v="1.21"/>
    <n v="3.86"/>
    <n v="8.59"/>
    <n v="2"/>
    <n v="5.2"/>
    <n v="79.099999999999994"/>
    <n v="86"/>
    <n v="19.100000000000001"/>
    <n v="45.7"/>
    <s v="keep"/>
  </r>
  <r>
    <s v="U0140"/>
    <x v="16"/>
    <x v="0"/>
    <x v="0"/>
    <x v="0"/>
    <n v="8.14"/>
    <n v="1.22"/>
    <n v="6.92"/>
    <n v="8.1"/>
    <n v="2"/>
    <n v="8.5"/>
    <n v="56.2"/>
    <n v="0"/>
    <n v="7.5"/>
    <n v="22.3"/>
    <s v="keep"/>
  </r>
  <r>
    <s v="U0141"/>
    <x v="7"/>
    <x v="0"/>
    <x v="1"/>
    <x v="1"/>
    <n v="11.85"/>
    <n v="1.91"/>
    <n v="9.94"/>
    <n v="6.5"/>
    <n v="1"/>
    <n v="10"/>
    <n v="41.2"/>
    <n v="81"/>
    <n v="10.4"/>
    <n v="2.5"/>
    <s v="keep"/>
  </r>
  <r>
    <s v="U0142"/>
    <x v="25"/>
    <x v="0"/>
    <x v="1"/>
    <x v="0"/>
    <n v="10.39"/>
    <n v="1.58"/>
    <n v="8.81"/>
    <n v="7.82"/>
    <n v="3"/>
    <n v="6.8"/>
    <n v="73.599999999999994"/>
    <n v="255"/>
    <n v="7.4"/>
    <n v="50.3"/>
    <s v="keep"/>
  </r>
  <r>
    <s v="U0143"/>
    <x v="29"/>
    <x v="0"/>
    <x v="0"/>
    <x v="1"/>
    <n v="3.76"/>
    <n v="0.78"/>
    <n v="2.98"/>
    <n v="7.99"/>
    <n v="2"/>
    <n v="2.9"/>
    <n v="79.599999999999994"/>
    <n v="185"/>
    <n v="10"/>
    <n v="60.1"/>
    <s v="keep"/>
  </r>
  <r>
    <s v="U0144"/>
    <x v="7"/>
    <x v="0"/>
    <x v="0"/>
    <x v="1"/>
    <n v="5.9"/>
    <n v="0.34"/>
    <n v="5.56"/>
    <n v="7.58"/>
    <n v="2"/>
    <n v="5.5"/>
    <n v="67.099999999999994"/>
    <n v="276"/>
    <n v="10.8"/>
    <n v="49.3"/>
    <s v="keep"/>
  </r>
  <r>
    <s v="U0145"/>
    <x v="11"/>
    <x v="0"/>
    <x v="0"/>
    <x v="2"/>
    <n v="8.76"/>
    <n v="1.86"/>
    <n v="6.9"/>
    <n v="7.83"/>
    <n v="2"/>
    <n v="6.2"/>
    <n v="54.4"/>
    <n v="168"/>
    <n v="10"/>
    <n v="30.2"/>
    <s v="keep"/>
  </r>
  <r>
    <s v="U0146"/>
    <x v="4"/>
    <x v="1"/>
    <x v="1"/>
    <x v="2"/>
    <n v="12.18"/>
    <n v="1.91"/>
    <n v="10.27"/>
    <n v="6.69"/>
    <n v="1"/>
    <n v="10"/>
    <n v="36.4"/>
    <n v="160"/>
    <n v="11.2"/>
    <n v="0"/>
    <s v="keep"/>
  </r>
  <r>
    <s v="U0148"/>
    <x v="20"/>
    <x v="1"/>
    <x v="1"/>
    <x v="0"/>
    <n v="8.6999999999999993"/>
    <n v="4.17"/>
    <n v="4.53"/>
    <n v="5.83"/>
    <n v="1"/>
    <n v="10"/>
    <n v="44.2"/>
    <n v="127"/>
    <n v="0"/>
    <n v="8"/>
    <s v="keep"/>
  </r>
  <r>
    <s v="U0149"/>
    <x v="6"/>
    <x v="0"/>
    <x v="3"/>
    <x v="0"/>
    <n v="7.18"/>
    <n v="1.47"/>
    <n v="5.71"/>
    <n v="6.95"/>
    <n v="1"/>
    <n v="3.6"/>
    <n v="64.8"/>
    <n v="104"/>
    <n v="8"/>
    <n v="43.7"/>
    <s v="keep"/>
  </r>
  <r>
    <s v="U0150"/>
    <x v="11"/>
    <x v="2"/>
    <x v="0"/>
    <x v="2"/>
    <n v="9.11"/>
    <n v="0.93"/>
    <n v="8.18"/>
    <n v="6.95"/>
    <n v="1"/>
    <n v="9"/>
    <n v="45.4"/>
    <n v="177"/>
    <n v="0.7"/>
    <n v="20.3"/>
    <s v="keep"/>
  </r>
  <r>
    <s v="U0151"/>
    <x v="11"/>
    <x v="0"/>
    <x v="0"/>
    <x v="1"/>
    <n v="7.47"/>
    <n v="0.37"/>
    <n v="7.1"/>
    <n v="7.65"/>
    <n v="1"/>
    <n v="10"/>
    <n v="37.9"/>
    <n v="216"/>
    <n v="15.5"/>
    <n v="1.7"/>
    <s v="keep"/>
  </r>
  <r>
    <s v="U0152"/>
    <x v="11"/>
    <x v="0"/>
    <x v="0"/>
    <x v="1"/>
    <n v="8.9700000000000006"/>
    <n v="1.93"/>
    <n v="7.04"/>
    <n v="8.09"/>
    <n v="2"/>
    <n v="8.1999999999999993"/>
    <n v="51"/>
    <n v="72"/>
    <n v="6.7"/>
    <n v="29.9"/>
    <s v="keep"/>
  </r>
  <r>
    <s v="U0153"/>
    <x v="21"/>
    <x v="1"/>
    <x v="1"/>
    <x v="1"/>
    <n v="7.98"/>
    <n v="0.7"/>
    <n v="7.28"/>
    <n v="7.12"/>
    <n v="1"/>
    <n v="9.5"/>
    <n v="50.4"/>
    <n v="57"/>
    <n v="2.2999999999999998"/>
    <n v="7.9"/>
    <s v="keep"/>
  </r>
  <r>
    <s v="U0154"/>
    <x v="7"/>
    <x v="1"/>
    <x v="4"/>
    <x v="2"/>
    <n v="7.22"/>
    <n v="1.48"/>
    <n v="5.74"/>
    <n v="6.19"/>
    <n v="1"/>
    <n v="7.9"/>
    <n v="48.5"/>
    <n v="125"/>
    <n v="14.3"/>
    <n v="9.6"/>
    <s v="keep"/>
  </r>
  <r>
    <s v="U0155"/>
    <x v="11"/>
    <x v="1"/>
    <x v="0"/>
    <x v="1"/>
    <n v="7.16"/>
    <n v="1.04"/>
    <n v="6.12"/>
    <n v="8.02"/>
    <n v="2"/>
    <n v="5.5"/>
    <n v="77.900000000000006"/>
    <n v="174"/>
    <n v="15.1"/>
    <n v="59.8"/>
    <s v="keep"/>
  </r>
  <r>
    <s v="U0156"/>
    <x v="21"/>
    <x v="0"/>
    <x v="1"/>
    <x v="0"/>
    <n v="16.29"/>
    <n v="5.9"/>
    <n v="10.39"/>
    <n v="6.5"/>
    <n v="1"/>
    <n v="10"/>
    <n v="33.1"/>
    <n v="113"/>
    <n v="7.3"/>
    <n v="4.8"/>
    <s v="keep"/>
  </r>
  <r>
    <s v="U0157"/>
    <x v="18"/>
    <x v="0"/>
    <x v="0"/>
    <x v="2"/>
    <n v="9.52"/>
    <n v="0.48"/>
    <n v="9.0399999999999991"/>
    <n v="5.56"/>
    <n v="1"/>
    <n v="9.9"/>
    <n v="44.6"/>
    <n v="8"/>
    <n v="9.9"/>
    <n v="0.6"/>
    <s v="keep"/>
  </r>
  <r>
    <s v="U0158"/>
    <x v="0"/>
    <x v="1"/>
    <x v="2"/>
    <x v="0"/>
    <n v="12.39"/>
    <n v="3.06"/>
    <n v="9.33"/>
    <n v="6.57"/>
    <n v="1"/>
    <n v="10"/>
    <n v="37.700000000000003"/>
    <n v="219"/>
    <n v="9.1999999999999993"/>
    <n v="7.7"/>
    <s v="keep"/>
  </r>
  <r>
    <s v="U0159"/>
    <x v="16"/>
    <x v="1"/>
    <x v="4"/>
    <x v="0"/>
    <n v="8.8000000000000007"/>
    <n v="4.08"/>
    <n v="4.72"/>
    <n v="5.71"/>
    <n v="1"/>
    <n v="7.8"/>
    <n v="58.2"/>
    <n v="55"/>
    <n v="17.8"/>
    <n v="16"/>
    <s v="keep"/>
  </r>
  <r>
    <s v="U0160"/>
    <x v="2"/>
    <x v="1"/>
    <x v="0"/>
    <x v="2"/>
    <n v="8.99"/>
    <n v="0.51"/>
    <n v="8.48"/>
    <n v="6.57"/>
    <n v="1"/>
    <n v="8.4"/>
    <n v="55.6"/>
    <n v="88"/>
    <n v="4.0999999999999996"/>
    <n v="20.2"/>
    <s v="keep"/>
  </r>
  <r>
    <s v="U0161"/>
    <x v="12"/>
    <x v="1"/>
    <x v="0"/>
    <x v="2"/>
    <n v="9.69"/>
    <n v="1.1599999999999999"/>
    <n v="8.5299999999999994"/>
    <n v="6.14"/>
    <n v="1"/>
    <n v="10"/>
    <n v="45.5"/>
    <n v="33"/>
    <n v="10.5"/>
    <n v="0"/>
    <s v="keep"/>
  </r>
  <r>
    <s v="U0162"/>
    <x v="4"/>
    <x v="0"/>
    <x v="1"/>
    <x v="2"/>
    <n v="9.75"/>
    <n v="0.49"/>
    <n v="9.26"/>
    <n v="7.64"/>
    <n v="2"/>
    <n v="10"/>
    <n v="52.8"/>
    <n v="291"/>
    <n v="6.1"/>
    <n v="13"/>
    <s v="keep"/>
  </r>
  <r>
    <s v="U0163"/>
    <x v="30"/>
    <x v="1"/>
    <x v="3"/>
    <x v="0"/>
    <n v="12.67"/>
    <n v="6.76"/>
    <n v="5.91"/>
    <n v="6.68"/>
    <n v="2"/>
    <n v="10"/>
    <n v="43.7"/>
    <n v="103"/>
    <n v="2.4"/>
    <n v="16.7"/>
    <s v="keep"/>
  </r>
  <r>
    <s v="U0164"/>
    <x v="24"/>
    <x v="0"/>
    <x v="1"/>
    <x v="0"/>
    <n v="12.06"/>
    <n v="6.27"/>
    <n v="5.79"/>
    <n v="5.49"/>
    <n v="1"/>
    <n v="10"/>
    <n v="43.2"/>
    <n v="23"/>
    <n v="4.0999999999999996"/>
    <n v="0"/>
    <s v="keep"/>
  </r>
  <r>
    <s v="U0165"/>
    <x v="23"/>
    <x v="0"/>
    <x v="4"/>
    <x v="0"/>
    <n v="7.64"/>
    <n v="3.89"/>
    <n v="3.75"/>
    <n v="8.0299999999999994"/>
    <n v="2"/>
    <n v="5.0999999999999996"/>
    <n v="70.099999999999994"/>
    <n v="176"/>
    <n v="13.7"/>
    <n v="48.9"/>
    <s v="keep"/>
  </r>
  <r>
    <s v="U0166"/>
    <x v="0"/>
    <x v="0"/>
    <x v="0"/>
    <x v="2"/>
    <n v="10.26"/>
    <n v="1.07"/>
    <n v="9.19"/>
    <n v="5.74"/>
    <n v="1"/>
    <n v="10"/>
    <n v="42.6"/>
    <n v="152"/>
    <n v="11.8"/>
    <n v="0"/>
    <s v="keep"/>
  </r>
  <r>
    <s v="U0167"/>
    <x v="4"/>
    <x v="0"/>
    <x v="0"/>
    <x v="0"/>
    <n v="5.57"/>
    <n v="1.06"/>
    <n v="4.51"/>
    <n v="7.89"/>
    <n v="3"/>
    <n v="6.7"/>
    <n v="73.2"/>
    <n v="114"/>
    <n v="15.4"/>
    <n v="58.5"/>
    <s v="keep"/>
  </r>
  <r>
    <s v="U0168"/>
    <x v="26"/>
    <x v="0"/>
    <x v="0"/>
    <x v="0"/>
    <n v="8.32"/>
    <n v="2.99"/>
    <n v="5.33"/>
    <n v="6.65"/>
    <n v="1"/>
    <n v="8.3000000000000007"/>
    <n v="49.6"/>
    <n v="174"/>
    <n v="10.1"/>
    <n v="22.6"/>
    <s v="keep"/>
  </r>
  <r>
    <s v="U0169"/>
    <x v="1"/>
    <x v="0"/>
    <x v="1"/>
    <x v="2"/>
    <n v="10.63"/>
    <n v="1.0900000000000001"/>
    <n v="9.5399999999999991"/>
    <n v="6.49"/>
    <n v="1"/>
    <n v="6.9"/>
    <n v="50.3"/>
    <n v="35"/>
    <n v="9.4"/>
    <n v="18"/>
    <s v="keep"/>
  </r>
  <r>
    <s v="U0170"/>
    <x v="24"/>
    <x v="1"/>
    <x v="1"/>
    <x v="2"/>
    <n v="11.09"/>
    <n v="1.18"/>
    <n v="9.91"/>
    <n v="7.07"/>
    <n v="1"/>
    <n v="10"/>
    <n v="44.2"/>
    <n v="53"/>
    <n v="5.5"/>
    <n v="0"/>
    <s v="keep"/>
  </r>
  <r>
    <s v="U0171"/>
    <x v="12"/>
    <x v="0"/>
    <x v="1"/>
    <x v="2"/>
    <n v="6.55"/>
    <n v="0.33"/>
    <n v="6.22"/>
    <n v="7.75"/>
    <n v="1"/>
    <n v="8.6999999999999993"/>
    <n v="61.2"/>
    <n v="0"/>
    <n v="2.6"/>
    <n v="19.899999999999999"/>
    <s v="keep"/>
  </r>
  <r>
    <s v="U0172"/>
    <x v="24"/>
    <x v="1"/>
    <x v="1"/>
    <x v="0"/>
    <n v="10.33"/>
    <n v="4.76"/>
    <n v="5.57"/>
    <n v="7.85"/>
    <n v="1"/>
    <n v="7.9"/>
    <n v="57.9"/>
    <n v="0"/>
    <n v="5.2"/>
    <n v="28.3"/>
    <s v="keep"/>
  </r>
  <r>
    <s v="U0173"/>
    <x v="19"/>
    <x v="0"/>
    <x v="0"/>
    <x v="2"/>
    <n v="9.98"/>
    <n v="1.34"/>
    <n v="8.64"/>
    <n v="6.83"/>
    <n v="1"/>
    <n v="10"/>
    <n v="35.5"/>
    <n v="224"/>
    <n v="10"/>
    <n v="8.3000000000000007"/>
    <s v="keep"/>
  </r>
  <r>
    <s v="U0174"/>
    <x v="11"/>
    <x v="0"/>
    <x v="0"/>
    <x v="1"/>
    <n v="7.99"/>
    <n v="0.4"/>
    <n v="7.59"/>
    <n v="7.47"/>
    <n v="1"/>
    <n v="9.1"/>
    <n v="57.4"/>
    <n v="226"/>
    <n v="9.6"/>
    <n v="28.9"/>
    <s v="keep"/>
  </r>
  <r>
    <s v="U0175"/>
    <x v="11"/>
    <x v="1"/>
    <x v="1"/>
    <x v="0"/>
    <n v="11.22"/>
    <n v="3.89"/>
    <n v="7.33"/>
    <n v="6.39"/>
    <n v="1"/>
    <n v="10"/>
    <n v="39.299999999999997"/>
    <n v="96"/>
    <n v="7.2"/>
    <n v="0"/>
    <s v="keep"/>
  </r>
  <r>
    <s v="U0176"/>
    <x v="4"/>
    <x v="0"/>
    <x v="4"/>
    <x v="2"/>
    <n v="4.0999999999999996"/>
    <n v="0.21"/>
    <n v="3.89"/>
    <n v="7.99"/>
    <n v="1"/>
    <n v="4.0999999999999996"/>
    <n v="79.099999999999994"/>
    <n v="253"/>
    <n v="7.8"/>
    <n v="45.3"/>
    <s v="keep"/>
  </r>
  <r>
    <s v="U0177"/>
    <x v="15"/>
    <x v="0"/>
    <x v="2"/>
    <x v="0"/>
    <n v="10.48"/>
    <n v="5.65"/>
    <n v="4.83"/>
    <n v="7.18"/>
    <n v="1"/>
    <n v="10"/>
    <n v="36.799999999999997"/>
    <n v="84"/>
    <n v="23.9"/>
    <n v="0"/>
    <s v="keep"/>
  </r>
  <r>
    <s v="U0178"/>
    <x v="14"/>
    <x v="0"/>
    <x v="4"/>
    <x v="0"/>
    <n v="8.57"/>
    <n v="1.57"/>
    <n v="7"/>
    <n v="7.15"/>
    <n v="1"/>
    <n v="8.3000000000000007"/>
    <n v="52.8"/>
    <n v="95"/>
    <n v="10.7"/>
    <n v="17.399999999999999"/>
    <s v="keep"/>
  </r>
  <r>
    <s v="U0179"/>
    <x v="17"/>
    <x v="0"/>
    <x v="3"/>
    <x v="0"/>
    <n v="8.16"/>
    <n v="2.48"/>
    <n v="5.68"/>
    <n v="5.7"/>
    <n v="1"/>
    <n v="6.3"/>
    <n v="62.4"/>
    <n v="111"/>
    <n v="11.1"/>
    <n v="30"/>
    <s v="keep"/>
  </r>
  <r>
    <s v="U0180"/>
    <x v="31"/>
    <x v="2"/>
    <x v="1"/>
    <x v="0"/>
    <n v="16.36"/>
    <n v="3.01"/>
    <n v="13.35"/>
    <n v="6.42"/>
    <n v="1"/>
    <n v="10"/>
    <n v="24.6"/>
    <n v="62"/>
    <n v="5.5"/>
    <n v="0"/>
    <s v="keep"/>
  </r>
  <r>
    <s v="U0181"/>
    <x v="2"/>
    <x v="0"/>
    <x v="0"/>
    <x v="2"/>
    <n v="4.5599999999999996"/>
    <n v="0.56999999999999995"/>
    <n v="3.99"/>
    <n v="8.06"/>
    <n v="2"/>
    <n v="6.3"/>
    <n v="75.599999999999994"/>
    <n v="118"/>
    <n v="9.6"/>
    <n v="47.3"/>
    <s v="keep"/>
  </r>
  <r>
    <s v="U0182"/>
    <x v="24"/>
    <x v="1"/>
    <x v="0"/>
    <x v="2"/>
    <n v="9.8800000000000008"/>
    <n v="1.74"/>
    <n v="8.14"/>
    <n v="6.3"/>
    <n v="1"/>
    <n v="10"/>
    <n v="51.3"/>
    <n v="175"/>
    <n v="10.6"/>
    <n v="15"/>
    <s v="keep"/>
  </r>
  <r>
    <s v="U0183"/>
    <x v="10"/>
    <x v="0"/>
    <x v="0"/>
    <x v="2"/>
    <n v="7.35"/>
    <n v="0.94"/>
    <n v="6.41"/>
    <n v="6.18"/>
    <n v="1"/>
    <n v="8"/>
    <n v="53.9"/>
    <n v="120"/>
    <n v="10.199999999999999"/>
    <n v="8.1999999999999993"/>
    <s v="keep"/>
  </r>
  <r>
    <s v="U0184"/>
    <x v="0"/>
    <x v="1"/>
    <x v="1"/>
    <x v="1"/>
    <n v="6.92"/>
    <n v="0.5"/>
    <n v="6.42"/>
    <n v="8.57"/>
    <n v="2"/>
    <n v="5.7"/>
    <n v="79"/>
    <n v="168"/>
    <n v="0"/>
    <n v="44.5"/>
    <s v="keep"/>
  </r>
  <r>
    <s v="U0185"/>
    <x v="1"/>
    <x v="1"/>
    <x v="2"/>
    <x v="1"/>
    <n v="7.05"/>
    <n v="0.35"/>
    <n v="6.7"/>
    <n v="7.72"/>
    <n v="1"/>
    <n v="6.8"/>
    <n v="59.1"/>
    <n v="187"/>
    <n v="0"/>
    <n v="32"/>
    <s v="keep"/>
  </r>
  <r>
    <s v="U0186"/>
    <x v="2"/>
    <x v="1"/>
    <x v="1"/>
    <x v="2"/>
    <n v="12.92"/>
    <n v="2.5099999999999998"/>
    <n v="10.41"/>
    <n v="6.33"/>
    <n v="1"/>
    <n v="10"/>
    <n v="43.7"/>
    <n v="110"/>
    <n v="1.8"/>
    <n v="0.2"/>
    <s v="keep"/>
  </r>
  <r>
    <s v="U0187"/>
    <x v="0"/>
    <x v="0"/>
    <x v="1"/>
    <x v="1"/>
    <n v="11.06"/>
    <n v="2.88"/>
    <n v="8.18"/>
    <n v="5.86"/>
    <n v="1"/>
    <n v="10"/>
    <n v="28.1"/>
    <n v="25"/>
    <n v="7.4"/>
    <n v="0"/>
    <s v="keep"/>
  </r>
  <r>
    <s v="U0188"/>
    <x v="19"/>
    <x v="0"/>
    <x v="0"/>
    <x v="0"/>
    <n v="10.75"/>
    <n v="6.43"/>
    <n v="4.32"/>
    <n v="6.12"/>
    <n v="1"/>
    <n v="7.4"/>
    <n v="66.8"/>
    <n v="0"/>
    <n v="7.8"/>
    <n v="28.6"/>
    <s v="keep"/>
  </r>
  <r>
    <s v="U0189"/>
    <x v="24"/>
    <x v="0"/>
    <x v="0"/>
    <x v="0"/>
    <n v="12.27"/>
    <n v="6.71"/>
    <n v="5.56"/>
    <n v="7.53"/>
    <n v="1"/>
    <n v="10"/>
    <n v="48.6"/>
    <n v="91"/>
    <n v="12.5"/>
    <n v="0"/>
    <s v="keep"/>
  </r>
  <r>
    <s v="U0190"/>
    <x v="29"/>
    <x v="1"/>
    <x v="0"/>
    <x v="0"/>
    <n v="13.51"/>
    <n v="2.0299999999999998"/>
    <n v="11.48"/>
    <n v="6.35"/>
    <n v="1"/>
    <n v="10"/>
    <n v="36"/>
    <n v="58"/>
    <n v="0"/>
    <n v="0"/>
    <s v="keep"/>
  </r>
  <r>
    <s v="U0191"/>
    <x v="5"/>
    <x v="1"/>
    <x v="1"/>
    <x v="2"/>
    <n v="10.19"/>
    <n v="0.84"/>
    <n v="9.35"/>
    <n v="6.39"/>
    <n v="1"/>
    <n v="10"/>
    <n v="30.9"/>
    <n v="101"/>
    <n v="3.4"/>
    <n v="0"/>
    <s v="keep"/>
  </r>
  <r>
    <s v="U0192"/>
    <x v="4"/>
    <x v="1"/>
    <x v="2"/>
    <x v="1"/>
    <n v="7.02"/>
    <n v="0.71"/>
    <n v="6.31"/>
    <n v="7.81"/>
    <n v="2"/>
    <n v="6.4"/>
    <n v="69.599999999999994"/>
    <n v="118"/>
    <n v="15.6"/>
    <n v="36.1"/>
    <s v="keep"/>
  </r>
  <r>
    <s v="U0193"/>
    <x v="7"/>
    <x v="0"/>
    <x v="0"/>
    <x v="0"/>
    <n v="7.34"/>
    <n v="2.2400000000000002"/>
    <n v="5.0999999999999996"/>
    <n v="6.66"/>
    <n v="1"/>
    <n v="9.1"/>
    <n v="41.9"/>
    <n v="295"/>
    <n v="9.4"/>
    <n v="16.100000000000001"/>
    <s v="keep"/>
  </r>
  <r>
    <s v="U0194"/>
    <x v="16"/>
    <x v="1"/>
    <x v="1"/>
    <x v="1"/>
    <n v="10.4"/>
    <n v="0.54"/>
    <n v="9.86"/>
    <n v="7.94"/>
    <n v="1"/>
    <n v="10"/>
    <n v="45.1"/>
    <n v="0"/>
    <n v="10.7"/>
    <n v="0"/>
    <s v="keep"/>
  </r>
  <r>
    <s v="U0195"/>
    <x v="7"/>
    <x v="1"/>
    <x v="2"/>
    <x v="0"/>
    <n v="10.82"/>
    <n v="4.01"/>
    <n v="6.81"/>
    <n v="7.87"/>
    <n v="2"/>
    <n v="10"/>
    <n v="50.2"/>
    <n v="0"/>
    <n v="16.3"/>
    <n v="19.3"/>
    <s v="keep"/>
  </r>
  <r>
    <s v="U0196"/>
    <x v="0"/>
    <x v="0"/>
    <x v="4"/>
    <x v="1"/>
    <n v="5.85"/>
    <n v="0.57999999999999996"/>
    <n v="5.27"/>
    <n v="7.18"/>
    <n v="1"/>
    <n v="7.4"/>
    <n v="54"/>
    <n v="148"/>
    <n v="2"/>
    <n v="20.3"/>
    <s v="keep"/>
  </r>
  <r>
    <s v="U0197"/>
    <x v="12"/>
    <x v="0"/>
    <x v="2"/>
    <x v="0"/>
    <n v="10.95"/>
    <n v="2.64"/>
    <n v="8.31"/>
    <n v="6.17"/>
    <n v="1"/>
    <n v="10"/>
    <n v="48.3"/>
    <n v="62"/>
    <n v="5.8"/>
    <n v="7.6"/>
    <s v="keep"/>
  </r>
  <r>
    <s v="U0198"/>
    <x v="7"/>
    <x v="1"/>
    <x v="2"/>
    <x v="0"/>
    <n v="8.08"/>
    <n v="3.75"/>
    <n v="4.33"/>
    <n v="5.0999999999999996"/>
    <n v="1"/>
    <n v="7"/>
    <n v="62.7"/>
    <n v="132"/>
    <n v="5.6"/>
    <n v="30.6"/>
    <s v="keep"/>
  </r>
  <r>
    <s v="U0199"/>
    <x v="15"/>
    <x v="1"/>
    <x v="0"/>
    <x v="2"/>
    <n v="11.65"/>
    <n v="0.57999999999999996"/>
    <n v="11.07"/>
    <n v="5.47"/>
    <n v="1"/>
    <n v="10"/>
    <n v="46.4"/>
    <n v="129"/>
    <n v="0"/>
    <n v="0.8"/>
    <s v="keep"/>
  </r>
  <r>
    <s v="U0200"/>
    <x v="16"/>
    <x v="1"/>
    <x v="0"/>
    <x v="2"/>
    <n v="8.93"/>
    <n v="1.62"/>
    <n v="7.31"/>
    <n v="5.89"/>
    <n v="1"/>
    <n v="10"/>
    <n v="44.7"/>
    <n v="189"/>
    <n v="6.9"/>
    <n v="0"/>
    <s v="keep"/>
  </r>
  <r>
    <s v="U0201"/>
    <x v="11"/>
    <x v="0"/>
    <x v="1"/>
    <x v="0"/>
    <n v="11.79"/>
    <n v="7.06"/>
    <n v="4.7300000000000004"/>
    <n v="6.76"/>
    <n v="1"/>
    <n v="10"/>
    <n v="31.8"/>
    <n v="0"/>
    <n v="12.2"/>
    <n v="0"/>
    <s v="keep"/>
  </r>
  <r>
    <s v="U0202"/>
    <x v="6"/>
    <x v="1"/>
    <x v="0"/>
    <x v="2"/>
    <n v="6.09"/>
    <n v="0.59"/>
    <n v="5.5"/>
    <n v="7.27"/>
    <n v="2"/>
    <n v="8.5"/>
    <n v="66.7"/>
    <n v="84"/>
    <n v="11.9"/>
    <n v="27.5"/>
    <s v="keep"/>
  </r>
  <r>
    <s v="U0203"/>
    <x v="22"/>
    <x v="0"/>
    <x v="0"/>
    <x v="1"/>
    <n v="8.64"/>
    <n v="1.1499999999999999"/>
    <n v="7.49"/>
    <n v="6.11"/>
    <n v="1"/>
    <n v="6.6"/>
    <n v="57"/>
    <n v="140"/>
    <n v="12.8"/>
    <n v="29.4"/>
    <s v="keep"/>
  </r>
  <r>
    <s v="U0204"/>
    <x v="22"/>
    <x v="0"/>
    <x v="0"/>
    <x v="2"/>
    <n v="7.71"/>
    <n v="0.87"/>
    <n v="6.84"/>
    <n v="7.1"/>
    <n v="1"/>
    <n v="6.4"/>
    <n v="52.5"/>
    <n v="170"/>
    <n v="7.4"/>
    <n v="24.6"/>
    <s v="keep"/>
  </r>
  <r>
    <s v="U0205"/>
    <x v="13"/>
    <x v="0"/>
    <x v="0"/>
    <x v="2"/>
    <n v="10.68"/>
    <n v="0.88"/>
    <n v="9.8000000000000007"/>
    <n v="7.08"/>
    <n v="1"/>
    <n v="10"/>
    <n v="50.1"/>
    <n v="241"/>
    <n v="3.1"/>
    <n v="6.2"/>
    <s v="keep"/>
  </r>
  <r>
    <s v="U0206"/>
    <x v="12"/>
    <x v="1"/>
    <x v="0"/>
    <x v="2"/>
    <n v="8.73"/>
    <n v="0.65"/>
    <n v="8.08"/>
    <n v="7.43"/>
    <n v="1"/>
    <n v="9.4"/>
    <n v="59.9"/>
    <n v="169"/>
    <n v="13.1"/>
    <n v="26"/>
    <s v="keep"/>
  </r>
  <r>
    <s v="U0207"/>
    <x v="6"/>
    <x v="1"/>
    <x v="1"/>
    <x v="2"/>
    <n v="7.3"/>
    <n v="0.72"/>
    <n v="6.58"/>
    <n v="5.83"/>
    <n v="1"/>
    <n v="9.8000000000000007"/>
    <n v="47.6"/>
    <n v="112"/>
    <n v="6.4"/>
    <n v="0"/>
    <s v="keep"/>
  </r>
  <r>
    <s v="U0208"/>
    <x v="6"/>
    <x v="1"/>
    <x v="1"/>
    <x v="0"/>
    <n v="10.89"/>
    <n v="7.48"/>
    <n v="3.41"/>
    <n v="6.7"/>
    <n v="1"/>
    <n v="10"/>
    <n v="54.6"/>
    <n v="32"/>
    <n v="9.5"/>
    <n v="9.8000000000000007"/>
    <s v="keep"/>
  </r>
  <r>
    <s v="U0209"/>
    <x v="6"/>
    <x v="0"/>
    <x v="0"/>
    <x v="2"/>
    <n v="11.14"/>
    <n v="1.56"/>
    <n v="9.58"/>
    <n v="5.66"/>
    <n v="1"/>
    <n v="9.6"/>
    <n v="43.4"/>
    <n v="54"/>
    <n v="10.4"/>
    <n v="0"/>
    <s v="keep"/>
  </r>
  <r>
    <s v="U0210"/>
    <x v="32"/>
    <x v="1"/>
    <x v="1"/>
    <x v="0"/>
    <n v="12.56"/>
    <n v="2.93"/>
    <n v="9.6300000000000008"/>
    <n v="7.54"/>
    <n v="1"/>
    <n v="10"/>
    <n v="36.9"/>
    <n v="56"/>
    <n v="15.9"/>
    <n v="0"/>
    <s v="keep"/>
  </r>
  <r>
    <s v="U0211"/>
    <x v="6"/>
    <x v="0"/>
    <x v="2"/>
    <x v="0"/>
    <n v="11.96"/>
    <n v="6.74"/>
    <n v="5.22"/>
    <n v="7.27"/>
    <n v="1"/>
    <n v="9.3000000000000007"/>
    <n v="39.1"/>
    <n v="134"/>
    <n v="10.199999999999999"/>
    <n v="3.3"/>
    <s v="keep"/>
  </r>
  <r>
    <s v="U0212"/>
    <x v="30"/>
    <x v="1"/>
    <x v="0"/>
    <x v="2"/>
    <n v="11.15"/>
    <n v="0.56000000000000005"/>
    <n v="10.59"/>
    <n v="6.1"/>
    <n v="1"/>
    <n v="9.1999999999999993"/>
    <n v="54.3"/>
    <n v="114"/>
    <n v="0.1"/>
    <n v="6.5"/>
    <s v="keep"/>
  </r>
  <r>
    <s v="U0213"/>
    <x v="23"/>
    <x v="0"/>
    <x v="0"/>
    <x v="0"/>
    <n v="5.28"/>
    <n v="3.59"/>
    <n v="1.69"/>
    <n v="7.07"/>
    <n v="2"/>
    <n v="6.5"/>
    <n v="65.400000000000006"/>
    <n v="37"/>
    <n v="4.5"/>
    <n v="38.799999999999997"/>
    <s v="keep"/>
  </r>
  <r>
    <s v="U0214"/>
    <x v="2"/>
    <x v="0"/>
    <x v="0"/>
    <x v="2"/>
    <n v="7.32"/>
    <n v="1.08"/>
    <n v="6.24"/>
    <n v="6.98"/>
    <n v="1"/>
    <n v="9.1999999999999993"/>
    <n v="54.6"/>
    <n v="86"/>
    <n v="13.3"/>
    <n v="19.100000000000001"/>
    <s v="keep"/>
  </r>
  <r>
    <s v="U0215"/>
    <x v="17"/>
    <x v="0"/>
    <x v="2"/>
    <x v="2"/>
    <n v="9.39"/>
    <n v="0.47"/>
    <n v="8.92"/>
    <n v="5.16"/>
    <n v="1"/>
    <n v="10"/>
    <n v="40.6"/>
    <n v="162"/>
    <n v="9"/>
    <n v="5.9"/>
    <s v="keep"/>
  </r>
  <r>
    <s v="U0216"/>
    <x v="4"/>
    <x v="0"/>
    <x v="0"/>
    <x v="0"/>
    <n v="11.12"/>
    <n v="4.7"/>
    <n v="6.42"/>
    <n v="7.06"/>
    <n v="1"/>
    <n v="8.3000000000000007"/>
    <n v="45.4"/>
    <n v="119"/>
    <n v="4.3"/>
    <n v="13"/>
    <s v="keep"/>
  </r>
  <r>
    <s v="U0218"/>
    <x v="1"/>
    <x v="0"/>
    <x v="0"/>
    <x v="2"/>
    <n v="15.38"/>
    <n v="2.09"/>
    <n v="13.29"/>
    <n v="6.85"/>
    <n v="1"/>
    <n v="10"/>
    <n v="32.6"/>
    <n v="92"/>
    <n v="4"/>
    <n v="1.2"/>
    <s v="keep"/>
  </r>
  <r>
    <s v="U0219"/>
    <x v="5"/>
    <x v="0"/>
    <x v="0"/>
    <x v="1"/>
    <n v="11.64"/>
    <n v="0.68"/>
    <n v="10.96"/>
    <n v="5.74"/>
    <n v="1"/>
    <n v="10"/>
    <n v="38.1"/>
    <n v="200"/>
    <n v="7.4"/>
    <n v="15.9"/>
    <s v="keep"/>
  </r>
  <r>
    <s v="U0220"/>
    <x v="15"/>
    <x v="1"/>
    <x v="2"/>
    <x v="2"/>
    <n v="9.1300000000000008"/>
    <n v="0.98"/>
    <n v="8.15"/>
    <n v="6.54"/>
    <n v="1"/>
    <n v="8.4"/>
    <n v="57.5"/>
    <n v="120"/>
    <n v="12.1"/>
    <n v="14.5"/>
    <s v="keep"/>
  </r>
  <r>
    <s v="U0221"/>
    <x v="33"/>
    <x v="0"/>
    <x v="0"/>
    <x v="1"/>
    <n v="7.48"/>
    <n v="0.48"/>
    <n v="7"/>
    <n v="6.25"/>
    <n v="1"/>
    <n v="6.4"/>
    <n v="70.8"/>
    <n v="95"/>
    <n v="4.0999999999999996"/>
    <n v="29.2"/>
    <s v="keep"/>
  </r>
  <r>
    <s v="U0222"/>
    <x v="8"/>
    <x v="1"/>
    <x v="0"/>
    <x v="2"/>
    <n v="10.029999999999999"/>
    <n v="1.22"/>
    <n v="8.81"/>
    <n v="5.95"/>
    <n v="1"/>
    <n v="10"/>
    <n v="46.8"/>
    <n v="27"/>
    <n v="15.1"/>
    <n v="0"/>
    <s v="keep"/>
  </r>
  <r>
    <s v="U0223"/>
    <x v="2"/>
    <x v="1"/>
    <x v="2"/>
    <x v="0"/>
    <n v="5.5"/>
    <n v="1.97"/>
    <n v="3.53"/>
    <n v="6.68"/>
    <n v="1"/>
    <n v="5.4"/>
    <n v="64.2"/>
    <n v="145"/>
    <n v="6.3"/>
    <n v="32.1"/>
    <s v="keep"/>
  </r>
  <r>
    <s v="U0224"/>
    <x v="29"/>
    <x v="1"/>
    <x v="2"/>
    <x v="2"/>
    <n v="9.5299999999999994"/>
    <n v="2.23"/>
    <n v="7.3"/>
    <n v="7.64"/>
    <n v="2"/>
    <n v="10"/>
    <n v="46.6"/>
    <n v="0"/>
    <n v="8.4"/>
    <n v="0"/>
    <s v="keep"/>
  </r>
  <r>
    <s v="U0225"/>
    <x v="5"/>
    <x v="0"/>
    <x v="0"/>
    <x v="1"/>
    <n v="8.16"/>
    <n v="0.92"/>
    <n v="7.24"/>
    <n v="6.58"/>
    <n v="1"/>
    <n v="7.4"/>
    <n v="56.6"/>
    <n v="94"/>
    <n v="17.3"/>
    <n v="23.2"/>
    <s v="keep"/>
  </r>
  <r>
    <s v="U0226"/>
    <x v="22"/>
    <x v="1"/>
    <x v="2"/>
    <x v="2"/>
    <n v="9.32"/>
    <n v="0.8"/>
    <n v="8.52"/>
    <n v="7.18"/>
    <n v="1"/>
    <n v="7.4"/>
    <n v="56.3"/>
    <n v="92"/>
    <n v="0"/>
    <n v="15.5"/>
    <s v="keep"/>
  </r>
  <r>
    <s v="U0227"/>
    <x v="15"/>
    <x v="1"/>
    <x v="0"/>
    <x v="1"/>
    <n v="7.42"/>
    <n v="1.06"/>
    <n v="6.36"/>
    <n v="6.98"/>
    <n v="2"/>
    <n v="3.5"/>
    <n v="72.900000000000006"/>
    <n v="18"/>
    <n v="9"/>
    <n v="43.2"/>
    <s v="keep"/>
  </r>
  <r>
    <s v="U0228"/>
    <x v="10"/>
    <x v="0"/>
    <x v="0"/>
    <x v="1"/>
    <n v="8.06"/>
    <n v="1.85"/>
    <n v="6.21"/>
    <n v="6.09"/>
    <n v="1"/>
    <n v="8.4"/>
    <n v="56.6"/>
    <n v="40"/>
    <n v="12.6"/>
    <n v="18.899999999999999"/>
    <s v="keep"/>
  </r>
  <r>
    <s v="U0229"/>
    <x v="21"/>
    <x v="0"/>
    <x v="0"/>
    <x v="0"/>
    <n v="9.51"/>
    <n v="2.33"/>
    <n v="7.18"/>
    <n v="6.78"/>
    <n v="1"/>
    <n v="8.8000000000000007"/>
    <n v="49"/>
    <n v="155"/>
    <n v="11.1"/>
    <n v="5.7"/>
    <s v="keep"/>
  </r>
  <r>
    <s v="U0230"/>
    <x v="2"/>
    <x v="1"/>
    <x v="0"/>
    <x v="0"/>
    <n v="11.85"/>
    <n v="6.4"/>
    <n v="5.45"/>
    <n v="7.15"/>
    <n v="1"/>
    <n v="9.3000000000000007"/>
    <n v="32.700000000000003"/>
    <n v="106"/>
    <n v="4.7"/>
    <n v="0"/>
    <s v="keep"/>
  </r>
  <r>
    <s v="U0231"/>
    <x v="21"/>
    <x v="1"/>
    <x v="1"/>
    <x v="2"/>
    <n v="10.64"/>
    <n v="1.25"/>
    <n v="9.39"/>
    <n v="5.78"/>
    <n v="1"/>
    <n v="10"/>
    <n v="36.5"/>
    <n v="98"/>
    <n v="3.1"/>
    <n v="8.6"/>
    <s v="keep"/>
  </r>
  <r>
    <s v="U0232"/>
    <x v="7"/>
    <x v="1"/>
    <x v="2"/>
    <x v="2"/>
    <n v="7.51"/>
    <n v="0.73"/>
    <n v="6.78"/>
    <n v="7.93"/>
    <n v="2"/>
    <n v="7.8"/>
    <n v="58.5"/>
    <n v="135"/>
    <n v="12.2"/>
    <n v="20.100000000000001"/>
    <s v="keep"/>
  </r>
  <r>
    <s v="U0233"/>
    <x v="15"/>
    <x v="1"/>
    <x v="2"/>
    <x v="1"/>
    <n v="6.2"/>
    <n v="0.31"/>
    <n v="5.89"/>
    <n v="6.79"/>
    <n v="1"/>
    <n v="6.9"/>
    <n v="60.7"/>
    <n v="127"/>
    <n v="14.2"/>
    <n v="16.5"/>
    <s v="keep"/>
  </r>
  <r>
    <s v="U0234"/>
    <x v="21"/>
    <x v="1"/>
    <x v="1"/>
    <x v="1"/>
    <n v="7.26"/>
    <n v="0.96"/>
    <n v="6.3"/>
    <n v="6.86"/>
    <n v="1"/>
    <n v="9.9"/>
    <n v="58.8"/>
    <n v="198"/>
    <n v="3.1"/>
    <n v="13.3"/>
    <s v="keep"/>
  </r>
  <r>
    <s v="U0235"/>
    <x v="28"/>
    <x v="0"/>
    <x v="2"/>
    <x v="0"/>
    <n v="10.23"/>
    <n v="3.11"/>
    <n v="7.12"/>
    <n v="7.46"/>
    <n v="1"/>
    <n v="10"/>
    <n v="44.1"/>
    <n v="114"/>
    <n v="0.7"/>
    <n v="10.1"/>
    <s v="keep"/>
  </r>
  <r>
    <s v="U0236"/>
    <x v="2"/>
    <x v="0"/>
    <x v="1"/>
    <x v="0"/>
    <n v="10.18"/>
    <n v="5.4"/>
    <n v="4.78"/>
    <n v="6.39"/>
    <n v="1"/>
    <n v="8.9"/>
    <n v="42.1"/>
    <n v="0"/>
    <n v="8.1"/>
    <n v="0"/>
    <s v="keep"/>
  </r>
  <r>
    <s v="U0237"/>
    <x v="8"/>
    <x v="0"/>
    <x v="0"/>
    <x v="1"/>
    <n v="8.98"/>
    <n v="1.47"/>
    <n v="7.51"/>
    <n v="6.94"/>
    <n v="1"/>
    <n v="7.6"/>
    <n v="55.5"/>
    <n v="211"/>
    <n v="7.3"/>
    <n v="24.7"/>
    <s v="keep"/>
  </r>
  <r>
    <s v="U0238"/>
    <x v="7"/>
    <x v="1"/>
    <x v="0"/>
    <x v="2"/>
    <n v="10.39"/>
    <n v="0.96"/>
    <n v="9.43"/>
    <n v="6.6"/>
    <n v="2"/>
    <n v="10"/>
    <n v="46.3"/>
    <n v="122"/>
    <n v="6.3"/>
    <n v="15.8"/>
    <s v="keep"/>
  </r>
  <r>
    <s v="U0239"/>
    <x v="21"/>
    <x v="0"/>
    <x v="1"/>
    <x v="1"/>
    <n v="8.7100000000000009"/>
    <n v="0.48"/>
    <n v="8.23"/>
    <n v="7.14"/>
    <n v="1"/>
    <n v="9.6"/>
    <n v="48.5"/>
    <n v="61"/>
    <n v="10.9"/>
    <n v="0"/>
    <s v="keep"/>
  </r>
  <r>
    <s v="U0240"/>
    <x v="4"/>
    <x v="1"/>
    <x v="2"/>
    <x v="2"/>
    <n v="9.0399999999999991"/>
    <n v="0.45"/>
    <n v="8.59"/>
    <n v="5.2"/>
    <n v="1"/>
    <n v="9.5"/>
    <n v="49.9"/>
    <n v="19"/>
    <n v="7.3"/>
    <n v="10.5"/>
    <s v="keep"/>
  </r>
  <r>
    <s v="U0241"/>
    <x v="24"/>
    <x v="1"/>
    <x v="2"/>
    <x v="2"/>
    <n v="7.05"/>
    <n v="1.19"/>
    <n v="5.86"/>
    <n v="5.81"/>
    <n v="1"/>
    <n v="6.4"/>
    <n v="69.099999999999994"/>
    <n v="140"/>
    <n v="0"/>
    <n v="37.1"/>
    <s v="keep"/>
  </r>
  <r>
    <s v="U0242"/>
    <x v="19"/>
    <x v="1"/>
    <x v="0"/>
    <x v="0"/>
    <n v="7.76"/>
    <n v="2.5"/>
    <n v="5.26"/>
    <n v="7.72"/>
    <n v="2"/>
    <n v="7.9"/>
    <n v="60.6"/>
    <n v="103"/>
    <n v="2.4"/>
    <n v="26.2"/>
    <s v="keep"/>
  </r>
  <r>
    <s v="U0243"/>
    <x v="6"/>
    <x v="0"/>
    <x v="1"/>
    <x v="2"/>
    <n v="6.86"/>
    <n v="0.72"/>
    <n v="6.14"/>
    <n v="8.24"/>
    <n v="2"/>
    <n v="5.2"/>
    <n v="82.7"/>
    <n v="229"/>
    <n v="10"/>
    <n v="61.1"/>
    <s v="keep"/>
  </r>
  <r>
    <s v="U0244"/>
    <x v="4"/>
    <x v="1"/>
    <x v="0"/>
    <x v="2"/>
    <n v="10.39"/>
    <n v="0.56999999999999995"/>
    <n v="9.82"/>
    <n v="6.17"/>
    <n v="1"/>
    <n v="10"/>
    <n v="47.9"/>
    <n v="74"/>
    <n v="6.4"/>
    <n v="10.6"/>
    <s v="keep"/>
  </r>
  <r>
    <s v="U0245"/>
    <x v="16"/>
    <x v="0"/>
    <x v="0"/>
    <x v="2"/>
    <n v="10.130000000000001"/>
    <n v="0.51"/>
    <n v="9.6199999999999992"/>
    <n v="6.59"/>
    <n v="1"/>
    <n v="10"/>
    <n v="38.6"/>
    <n v="34"/>
    <n v="0"/>
    <n v="0"/>
    <s v="keep"/>
  </r>
  <r>
    <s v="U0246"/>
    <x v="17"/>
    <x v="1"/>
    <x v="3"/>
    <x v="0"/>
    <n v="8.8000000000000007"/>
    <n v="6.69"/>
    <n v="2.11"/>
    <n v="7.29"/>
    <n v="2"/>
    <n v="6.8"/>
    <n v="76.900000000000006"/>
    <n v="166"/>
    <n v="0"/>
    <n v="39"/>
    <s v="keep"/>
  </r>
  <r>
    <s v="U0247"/>
    <x v="5"/>
    <x v="0"/>
    <x v="0"/>
    <x v="1"/>
    <n v="8.4499999999999993"/>
    <n v="1.83"/>
    <n v="6.62"/>
    <n v="7.65"/>
    <n v="2"/>
    <n v="5.2"/>
    <n v="72.5"/>
    <n v="170"/>
    <n v="8.3000000000000007"/>
    <n v="42.2"/>
    <s v="keep"/>
  </r>
  <r>
    <s v="U0248"/>
    <x v="21"/>
    <x v="0"/>
    <x v="0"/>
    <x v="1"/>
    <n v="10.130000000000001"/>
    <n v="2.5499999999999998"/>
    <n v="7.58"/>
    <n v="5.2"/>
    <n v="1"/>
    <n v="8.5"/>
    <n v="43.8"/>
    <n v="106"/>
    <n v="14.5"/>
    <n v="10.199999999999999"/>
    <s v="keep"/>
  </r>
  <r>
    <s v="U0249"/>
    <x v="18"/>
    <x v="1"/>
    <x v="0"/>
    <x v="0"/>
    <n v="9.61"/>
    <n v="5.75"/>
    <n v="3.86"/>
    <n v="6.39"/>
    <n v="2"/>
    <n v="10"/>
    <n v="59.5"/>
    <n v="155"/>
    <n v="8.6999999999999993"/>
    <n v="21.8"/>
    <s v="keep"/>
  </r>
  <r>
    <s v="U0250"/>
    <x v="0"/>
    <x v="0"/>
    <x v="0"/>
    <x v="0"/>
    <n v="12.69"/>
    <n v="5.84"/>
    <n v="6.85"/>
    <n v="6.26"/>
    <n v="1"/>
    <n v="10"/>
    <n v="51.4"/>
    <n v="81"/>
    <n v="11.1"/>
    <n v="3.4"/>
    <s v="keep"/>
  </r>
  <r>
    <s v="U0251"/>
    <x v="20"/>
    <x v="0"/>
    <x v="0"/>
    <x v="0"/>
    <n v="11.19"/>
    <n v="4.91"/>
    <n v="6.28"/>
    <n v="7.17"/>
    <n v="1"/>
    <n v="10"/>
    <n v="41"/>
    <n v="102"/>
    <n v="6"/>
    <n v="0"/>
    <s v="keep"/>
  </r>
  <r>
    <s v="U0252"/>
    <x v="23"/>
    <x v="1"/>
    <x v="1"/>
    <x v="2"/>
    <n v="4.87"/>
    <n v="0.41"/>
    <n v="4.46"/>
    <n v="9.74"/>
    <n v="3"/>
    <n v="2.7"/>
    <n v="88.9"/>
    <n v="214"/>
    <n v="2.5"/>
    <n v="83.8"/>
    <s v="keep"/>
  </r>
  <r>
    <s v="U0253"/>
    <x v="34"/>
    <x v="1"/>
    <x v="0"/>
    <x v="2"/>
    <n v="13.66"/>
    <n v="0.79"/>
    <n v="12.87"/>
    <n v="6.33"/>
    <n v="1"/>
    <n v="10"/>
    <n v="36.5"/>
    <n v="128"/>
    <n v="7.2"/>
    <n v="1.7"/>
    <s v="keep"/>
  </r>
  <r>
    <s v="U0254"/>
    <x v="22"/>
    <x v="1"/>
    <x v="0"/>
    <x v="2"/>
    <n v="9.8000000000000007"/>
    <n v="0.65"/>
    <n v="9.15"/>
    <n v="5.88"/>
    <n v="1"/>
    <n v="8.6"/>
    <n v="53.2"/>
    <n v="91"/>
    <n v="9.9"/>
    <n v="11"/>
    <s v="keep"/>
  </r>
  <r>
    <s v="U0255"/>
    <x v="29"/>
    <x v="1"/>
    <x v="4"/>
    <x v="0"/>
    <n v="6.42"/>
    <n v="4.43"/>
    <n v="1.99"/>
    <n v="7.63"/>
    <n v="1"/>
    <n v="7.6"/>
    <n v="65.599999999999994"/>
    <n v="208"/>
    <n v="8.4"/>
    <n v="31.3"/>
    <s v="keep"/>
  </r>
  <r>
    <s v="U0256"/>
    <x v="5"/>
    <x v="1"/>
    <x v="0"/>
    <x v="2"/>
    <n v="9.26"/>
    <n v="0.46"/>
    <n v="8.8000000000000007"/>
    <n v="8.0299999999999994"/>
    <n v="2"/>
    <n v="7.1"/>
    <n v="65.099999999999994"/>
    <n v="0"/>
    <n v="0"/>
    <n v="40.4"/>
    <s v="keep"/>
  </r>
  <r>
    <s v="U0257"/>
    <x v="25"/>
    <x v="0"/>
    <x v="0"/>
    <x v="2"/>
    <n v="9.66"/>
    <n v="1.1599999999999999"/>
    <n v="8.5"/>
    <n v="7.14"/>
    <n v="1"/>
    <n v="8.4"/>
    <n v="50.5"/>
    <n v="249"/>
    <n v="5.0999999999999996"/>
    <n v="0.4"/>
    <s v="keep"/>
  </r>
  <r>
    <s v="U0259"/>
    <x v="0"/>
    <x v="0"/>
    <x v="1"/>
    <x v="1"/>
    <n v="8.8699999999999992"/>
    <n v="1"/>
    <n v="7.87"/>
    <n v="7.87"/>
    <n v="1"/>
    <n v="8.5"/>
    <n v="48.8"/>
    <n v="62"/>
    <n v="10.6"/>
    <n v="2.8"/>
    <s v="keep"/>
  </r>
  <r>
    <s v="U0260"/>
    <x v="4"/>
    <x v="1"/>
    <x v="4"/>
    <x v="0"/>
    <n v="8.89"/>
    <n v="2.93"/>
    <n v="5.96"/>
    <n v="7.66"/>
    <n v="2"/>
    <n v="7.8"/>
    <n v="65.7"/>
    <n v="105"/>
    <n v="13.3"/>
    <n v="33.6"/>
    <s v="keep"/>
  </r>
  <r>
    <s v="U0261"/>
    <x v="12"/>
    <x v="1"/>
    <x v="0"/>
    <x v="2"/>
    <n v="7.83"/>
    <n v="1.79"/>
    <n v="6.04"/>
    <n v="6.32"/>
    <n v="2"/>
    <n v="7.4"/>
    <n v="60.9"/>
    <n v="97"/>
    <n v="5.9"/>
    <n v="31.3"/>
    <s v="keep"/>
  </r>
  <r>
    <s v="U0262"/>
    <x v="19"/>
    <x v="0"/>
    <x v="1"/>
    <x v="0"/>
    <n v="14.18"/>
    <n v="2.4"/>
    <n v="11.78"/>
    <n v="6.57"/>
    <n v="1"/>
    <n v="7.8"/>
    <n v="48.1"/>
    <n v="143"/>
    <n v="5.3"/>
    <n v="20.399999999999999"/>
    <s v="keep"/>
  </r>
  <r>
    <s v="U0263"/>
    <x v="8"/>
    <x v="0"/>
    <x v="0"/>
    <x v="2"/>
    <n v="7.64"/>
    <n v="0.55000000000000004"/>
    <n v="7.09"/>
    <n v="7.91"/>
    <n v="1"/>
    <n v="6.9"/>
    <n v="58.3"/>
    <n v="31"/>
    <n v="11"/>
    <n v="19.3"/>
    <s v="keep"/>
  </r>
  <r>
    <s v="U0264"/>
    <x v="10"/>
    <x v="1"/>
    <x v="0"/>
    <x v="1"/>
    <n v="8.86"/>
    <n v="0.68"/>
    <n v="8.18"/>
    <n v="7.93"/>
    <n v="1"/>
    <n v="8.5"/>
    <n v="50.4"/>
    <n v="119"/>
    <n v="12.1"/>
    <n v="2.1"/>
    <s v="keep"/>
  </r>
  <r>
    <s v="U0265"/>
    <x v="17"/>
    <x v="0"/>
    <x v="1"/>
    <x v="2"/>
    <n v="8.08"/>
    <n v="1.42"/>
    <n v="6.66"/>
    <n v="7.1"/>
    <n v="1"/>
    <n v="10"/>
    <n v="43.6"/>
    <n v="68"/>
    <n v="8.3000000000000007"/>
    <n v="0"/>
    <s v="keep"/>
  </r>
  <r>
    <s v="U0266"/>
    <x v="16"/>
    <x v="1"/>
    <x v="0"/>
    <x v="1"/>
    <n v="7.95"/>
    <n v="0.88"/>
    <n v="7.07"/>
    <n v="6.82"/>
    <n v="1"/>
    <n v="6.7"/>
    <n v="67.3"/>
    <n v="126"/>
    <n v="10.8"/>
    <n v="31.8"/>
    <s v="keep"/>
  </r>
  <r>
    <s v="U0267"/>
    <x v="35"/>
    <x v="0"/>
    <x v="0"/>
    <x v="0"/>
    <n v="9.23"/>
    <n v="6.1"/>
    <n v="3.13"/>
    <n v="8.1300000000000008"/>
    <n v="2"/>
    <n v="8.4"/>
    <n v="52.2"/>
    <n v="105"/>
    <n v="8.6"/>
    <n v="28.3"/>
    <s v="keep"/>
  </r>
  <r>
    <s v="U0268"/>
    <x v="13"/>
    <x v="1"/>
    <x v="0"/>
    <x v="0"/>
    <n v="9.1999999999999993"/>
    <n v="2.5499999999999998"/>
    <n v="6.65"/>
    <n v="5.93"/>
    <n v="1"/>
    <n v="10"/>
    <n v="39.799999999999997"/>
    <n v="103"/>
    <n v="8.5"/>
    <n v="0"/>
    <s v="keep"/>
  </r>
  <r>
    <s v="U0269"/>
    <x v="5"/>
    <x v="0"/>
    <x v="1"/>
    <x v="2"/>
    <n v="11.55"/>
    <n v="0.57999999999999996"/>
    <n v="10.97"/>
    <n v="6.98"/>
    <n v="1"/>
    <n v="9.3000000000000007"/>
    <n v="56.2"/>
    <n v="48"/>
    <n v="7.2"/>
    <n v="16.100000000000001"/>
    <s v="keep"/>
  </r>
  <r>
    <s v="U0270"/>
    <x v="7"/>
    <x v="1"/>
    <x v="2"/>
    <x v="2"/>
    <n v="6.15"/>
    <n v="0.37"/>
    <n v="5.78"/>
    <n v="6.39"/>
    <n v="1"/>
    <n v="7.5"/>
    <n v="64.599999999999994"/>
    <n v="86"/>
    <n v="9.3000000000000007"/>
    <n v="19.399999999999999"/>
    <s v="keep"/>
  </r>
  <r>
    <s v="U0271"/>
    <x v="14"/>
    <x v="1"/>
    <x v="3"/>
    <x v="0"/>
    <n v="9.01"/>
    <n v="2.73"/>
    <n v="6.28"/>
    <n v="8.01"/>
    <n v="2"/>
    <n v="6.8"/>
    <n v="49"/>
    <n v="130"/>
    <n v="10.1"/>
    <n v="31.8"/>
    <s v="keep"/>
  </r>
  <r>
    <s v="U0272"/>
    <x v="13"/>
    <x v="1"/>
    <x v="4"/>
    <x v="0"/>
    <n v="5.87"/>
    <n v="3.68"/>
    <n v="2.19"/>
    <n v="7.19"/>
    <n v="1"/>
    <n v="5.9"/>
    <n v="62.2"/>
    <n v="183"/>
    <n v="15.2"/>
    <n v="29.6"/>
    <s v="keep"/>
  </r>
  <r>
    <s v="U0273"/>
    <x v="30"/>
    <x v="1"/>
    <x v="0"/>
    <x v="0"/>
    <n v="10.130000000000001"/>
    <n v="5.13"/>
    <n v="5"/>
    <n v="7.99"/>
    <n v="2"/>
    <n v="7.7"/>
    <n v="47.1"/>
    <n v="60"/>
    <n v="10.4"/>
    <n v="23.7"/>
    <s v="keep"/>
  </r>
  <r>
    <s v="U0274"/>
    <x v="15"/>
    <x v="1"/>
    <x v="1"/>
    <x v="1"/>
    <n v="10.57"/>
    <n v="0.53"/>
    <n v="10.039999999999999"/>
    <n v="7.21"/>
    <n v="3"/>
    <n v="7"/>
    <n v="60.4"/>
    <n v="34"/>
    <n v="0.7"/>
    <n v="44.1"/>
    <s v="keep"/>
  </r>
  <r>
    <s v="U0275"/>
    <x v="12"/>
    <x v="1"/>
    <x v="0"/>
    <x v="0"/>
    <n v="12.39"/>
    <n v="5.27"/>
    <n v="7.12"/>
    <n v="5.48"/>
    <n v="1"/>
    <n v="10"/>
    <n v="20.6"/>
    <n v="123"/>
    <n v="7.7"/>
    <n v="0"/>
    <s v="keep"/>
  </r>
  <r>
    <s v="U0276"/>
    <x v="0"/>
    <x v="0"/>
    <x v="1"/>
    <x v="0"/>
    <n v="19.170000000000002"/>
    <n v="12.04"/>
    <n v="7.13"/>
    <n v="6.69"/>
    <n v="1"/>
    <n v="10"/>
    <n v="28.4"/>
    <n v="42"/>
    <n v="0"/>
    <n v="0"/>
    <s v="keep"/>
  </r>
  <r>
    <s v="U0277"/>
    <x v="7"/>
    <x v="1"/>
    <x v="1"/>
    <x v="0"/>
    <n v="9.94"/>
    <n v="1.1100000000000001"/>
    <n v="8.83"/>
    <n v="8.16"/>
    <n v="2"/>
    <n v="10"/>
    <n v="42.2"/>
    <n v="157"/>
    <n v="0.8"/>
    <n v="12.7"/>
    <s v="keep"/>
  </r>
  <r>
    <s v="U0278"/>
    <x v="9"/>
    <x v="1"/>
    <x v="0"/>
    <x v="2"/>
    <n v="4.47"/>
    <n v="1.04"/>
    <n v="3.43"/>
    <n v="8.39"/>
    <n v="3"/>
    <n v="3.9"/>
    <n v="88.1"/>
    <n v="65"/>
    <n v="9.8000000000000007"/>
    <n v="80.5"/>
    <s v="keep"/>
  </r>
  <r>
    <s v="U0279"/>
    <x v="15"/>
    <x v="0"/>
    <x v="0"/>
    <x v="0"/>
    <n v="10.54"/>
    <n v="6.2"/>
    <n v="4.34"/>
    <n v="6.21"/>
    <n v="1"/>
    <n v="8"/>
    <n v="40.4"/>
    <n v="0"/>
    <n v="6"/>
    <n v="3.7"/>
    <s v="keep"/>
  </r>
  <r>
    <s v="U0280"/>
    <x v="5"/>
    <x v="1"/>
    <x v="0"/>
    <x v="2"/>
    <n v="7.24"/>
    <n v="0.67"/>
    <n v="6.57"/>
    <n v="7.03"/>
    <n v="1"/>
    <n v="8.4"/>
    <n v="54"/>
    <n v="75"/>
    <n v="2.1"/>
    <n v="26.5"/>
    <s v="keep"/>
  </r>
  <r>
    <s v="U0281"/>
    <x v="15"/>
    <x v="1"/>
    <x v="0"/>
    <x v="0"/>
    <n v="9.07"/>
    <n v="3.61"/>
    <n v="5.46"/>
    <n v="7.16"/>
    <n v="1"/>
    <n v="10"/>
    <n v="41.9"/>
    <n v="50"/>
    <n v="5.6"/>
    <n v="12.8"/>
    <s v="keep"/>
  </r>
  <r>
    <s v="U0282"/>
    <x v="2"/>
    <x v="1"/>
    <x v="0"/>
    <x v="1"/>
    <n v="9.51"/>
    <n v="1.26"/>
    <n v="8.25"/>
    <n v="6.46"/>
    <n v="2"/>
    <n v="7.1"/>
    <n v="70.3"/>
    <n v="98"/>
    <n v="5.7"/>
    <n v="35.200000000000003"/>
    <s v="keep"/>
  </r>
  <r>
    <s v="U0283"/>
    <x v="3"/>
    <x v="0"/>
    <x v="0"/>
    <x v="0"/>
    <n v="14.09"/>
    <n v="7.1"/>
    <n v="6.99"/>
    <n v="7.76"/>
    <n v="2"/>
    <n v="10"/>
    <n v="51.3"/>
    <n v="35"/>
    <n v="3.3"/>
    <n v="10.4"/>
    <s v="keep"/>
  </r>
  <r>
    <s v="U0284"/>
    <x v="16"/>
    <x v="0"/>
    <x v="3"/>
    <x v="2"/>
    <n v="5.59"/>
    <n v="1.48"/>
    <n v="4.1100000000000003"/>
    <n v="7.58"/>
    <n v="2"/>
    <n v="6.3"/>
    <n v="75.099999999999994"/>
    <n v="171"/>
    <n v="13.4"/>
    <n v="39.4"/>
    <s v="keep"/>
  </r>
  <r>
    <s v="U0285"/>
    <x v="28"/>
    <x v="2"/>
    <x v="0"/>
    <x v="1"/>
    <n v="2.44"/>
    <n v="0.28999999999999998"/>
    <n v="2.15"/>
    <n v="6.04"/>
    <n v="1"/>
    <n v="6.7"/>
    <n v="65.599999999999994"/>
    <n v="132"/>
    <n v="16.100000000000001"/>
    <n v="28.4"/>
    <s v="keep"/>
  </r>
  <r>
    <s v="U0286"/>
    <x v="8"/>
    <x v="1"/>
    <x v="0"/>
    <x v="2"/>
    <n v="8.3800000000000008"/>
    <n v="0.42"/>
    <n v="7.96"/>
    <n v="7.27"/>
    <n v="2"/>
    <n v="6.9"/>
    <n v="75.7"/>
    <n v="111"/>
    <n v="5.0999999999999996"/>
    <n v="30.9"/>
    <s v="keep"/>
  </r>
  <r>
    <s v="U0287"/>
    <x v="1"/>
    <x v="0"/>
    <x v="1"/>
    <x v="0"/>
    <n v="9.26"/>
    <n v="3.6"/>
    <n v="5.66"/>
    <n v="6.71"/>
    <n v="1"/>
    <n v="7.8"/>
    <n v="43.6"/>
    <n v="112"/>
    <n v="5.8"/>
    <n v="13.5"/>
    <s v="keep"/>
  </r>
  <r>
    <s v="U0288"/>
    <x v="6"/>
    <x v="1"/>
    <x v="0"/>
    <x v="2"/>
    <n v="12.73"/>
    <n v="2.63"/>
    <n v="10.1"/>
    <n v="6.47"/>
    <n v="1"/>
    <n v="10"/>
    <n v="30.5"/>
    <n v="97"/>
    <n v="0"/>
    <n v="6.4"/>
    <s v="keep"/>
  </r>
  <r>
    <s v="U0289"/>
    <x v="11"/>
    <x v="1"/>
    <x v="0"/>
    <x v="2"/>
    <n v="10.199999999999999"/>
    <n v="0.51"/>
    <n v="9.69"/>
    <n v="6.6"/>
    <n v="1"/>
    <n v="10"/>
    <n v="42.2"/>
    <n v="96"/>
    <n v="12.5"/>
    <n v="0"/>
    <s v="keep"/>
  </r>
  <r>
    <s v="U0290"/>
    <x v="9"/>
    <x v="0"/>
    <x v="1"/>
    <x v="2"/>
    <n v="11.67"/>
    <n v="2.83"/>
    <n v="8.84"/>
    <n v="7.25"/>
    <n v="1"/>
    <n v="8.6"/>
    <n v="59.6"/>
    <n v="121"/>
    <n v="7.1"/>
    <n v="15.2"/>
    <s v="keep"/>
  </r>
  <r>
    <s v="U0291"/>
    <x v="1"/>
    <x v="1"/>
    <x v="1"/>
    <x v="1"/>
    <n v="9.75"/>
    <n v="2.5099999999999998"/>
    <n v="7.24"/>
    <n v="7.81"/>
    <n v="2"/>
    <n v="5.5"/>
    <n v="66.2"/>
    <n v="43"/>
    <n v="5.3"/>
    <n v="30.6"/>
    <s v="keep"/>
  </r>
  <r>
    <s v="U0292"/>
    <x v="5"/>
    <x v="0"/>
    <x v="0"/>
    <x v="2"/>
    <n v="5.03"/>
    <n v="0.89"/>
    <n v="4.1399999999999997"/>
    <n v="7.83"/>
    <n v="1"/>
    <n v="6.2"/>
    <n v="64.599999999999994"/>
    <n v="224"/>
    <n v="12.7"/>
    <n v="35.4"/>
    <s v="keep"/>
  </r>
  <r>
    <s v="U0293"/>
    <x v="9"/>
    <x v="0"/>
    <x v="0"/>
    <x v="2"/>
    <n v="8.8800000000000008"/>
    <n v="0.44"/>
    <n v="8.44"/>
    <n v="6.75"/>
    <n v="1"/>
    <n v="8.4"/>
    <n v="42.4"/>
    <n v="86"/>
    <n v="7.3"/>
    <n v="11.4"/>
    <s v="keep"/>
  </r>
  <r>
    <s v="U0294"/>
    <x v="4"/>
    <x v="0"/>
    <x v="0"/>
    <x v="1"/>
    <n v="11.12"/>
    <n v="1.17"/>
    <n v="9.9499999999999993"/>
    <n v="6.76"/>
    <n v="1"/>
    <n v="10"/>
    <n v="47"/>
    <n v="2"/>
    <n v="3.1"/>
    <n v="2"/>
    <s v="keep"/>
  </r>
  <r>
    <s v="U0295"/>
    <x v="11"/>
    <x v="1"/>
    <x v="4"/>
    <x v="2"/>
    <n v="5.35"/>
    <n v="0.31"/>
    <n v="5.04"/>
    <n v="7.63"/>
    <n v="2"/>
    <n v="6.5"/>
    <n v="75.7"/>
    <n v="140"/>
    <n v="10.6"/>
    <n v="40.700000000000003"/>
    <s v="keep"/>
  </r>
  <r>
    <s v="U0296"/>
    <x v="21"/>
    <x v="0"/>
    <x v="1"/>
    <x v="0"/>
    <n v="10.38"/>
    <n v="4.83"/>
    <n v="5.55"/>
    <n v="6.14"/>
    <n v="1"/>
    <n v="9.5"/>
    <n v="49.2"/>
    <n v="33"/>
    <n v="1.8"/>
    <n v="4"/>
    <s v="keep"/>
  </r>
  <r>
    <s v="U0297"/>
    <x v="23"/>
    <x v="0"/>
    <x v="0"/>
    <x v="2"/>
    <n v="10.79"/>
    <n v="0.54"/>
    <n v="10.25"/>
    <n v="7.31"/>
    <n v="1"/>
    <n v="7.8"/>
    <n v="46.8"/>
    <n v="143"/>
    <n v="5.9"/>
    <n v="19.100000000000001"/>
    <s v="keep"/>
  </r>
  <r>
    <s v="U0298"/>
    <x v="11"/>
    <x v="0"/>
    <x v="4"/>
    <x v="1"/>
    <n v="7.38"/>
    <n v="1.53"/>
    <n v="5.85"/>
    <n v="7.68"/>
    <n v="2"/>
    <n v="9.8000000000000007"/>
    <n v="49.5"/>
    <n v="269"/>
    <n v="6.9"/>
    <n v="18.100000000000001"/>
    <s v="keep"/>
  </r>
  <r>
    <s v="U0299"/>
    <x v="4"/>
    <x v="1"/>
    <x v="0"/>
    <x v="0"/>
    <n v="10.130000000000001"/>
    <n v="2.61"/>
    <n v="7.52"/>
    <n v="8.17"/>
    <n v="1"/>
    <n v="8.6"/>
    <n v="40.6"/>
    <n v="45"/>
    <n v="7.3"/>
    <n v="9"/>
    <s v="keep"/>
  </r>
  <r>
    <s v="U0300"/>
    <x v="2"/>
    <x v="1"/>
    <x v="0"/>
    <x v="2"/>
    <n v="6.4"/>
    <n v="0.54"/>
    <n v="5.86"/>
    <n v="8.49"/>
    <n v="1"/>
    <n v="5.5"/>
    <n v="66.900000000000006"/>
    <n v="145"/>
    <n v="8.6"/>
    <n v="36.9"/>
    <s v="keep"/>
  </r>
  <r>
    <s v="U0301"/>
    <x v="24"/>
    <x v="0"/>
    <x v="0"/>
    <x v="0"/>
    <n v="8.6199999999999992"/>
    <n v="3.15"/>
    <n v="5.47"/>
    <n v="6.49"/>
    <n v="1"/>
    <n v="10"/>
    <n v="38.6"/>
    <n v="0"/>
    <n v="15.5"/>
    <n v="4.9000000000000004"/>
    <s v="keep"/>
  </r>
  <r>
    <s v="U0302"/>
    <x v="9"/>
    <x v="0"/>
    <x v="0"/>
    <x v="2"/>
    <n v="11.05"/>
    <n v="0.81"/>
    <n v="10.24"/>
    <n v="7.35"/>
    <n v="1"/>
    <n v="10"/>
    <n v="34.4"/>
    <n v="121"/>
    <n v="6.4"/>
    <n v="3.6"/>
    <s v="keep"/>
  </r>
  <r>
    <s v="U0303"/>
    <x v="2"/>
    <x v="1"/>
    <x v="3"/>
    <x v="0"/>
    <n v="8.5500000000000007"/>
    <n v="2.65"/>
    <n v="5.9"/>
    <n v="6.41"/>
    <n v="1"/>
    <n v="8.6999999999999993"/>
    <n v="47.8"/>
    <n v="47"/>
    <n v="0"/>
    <n v="10.7"/>
    <s v="keep"/>
  </r>
  <r>
    <s v="U0304"/>
    <x v="6"/>
    <x v="0"/>
    <x v="0"/>
    <x v="2"/>
    <n v="10.36"/>
    <n v="0.52"/>
    <n v="9.84"/>
    <n v="7.44"/>
    <n v="2"/>
    <n v="9.8000000000000007"/>
    <n v="46.3"/>
    <n v="54"/>
    <n v="0"/>
    <n v="20.7"/>
    <s v="keep"/>
  </r>
  <r>
    <s v="U0305"/>
    <x v="19"/>
    <x v="0"/>
    <x v="2"/>
    <x v="2"/>
    <n v="6.82"/>
    <n v="0.98"/>
    <n v="5.84"/>
    <n v="6.95"/>
    <n v="1"/>
    <n v="9.1"/>
    <n v="48.1"/>
    <n v="39"/>
    <n v="8.1999999999999993"/>
    <n v="10"/>
    <s v="keep"/>
  </r>
  <r>
    <s v="U0306"/>
    <x v="15"/>
    <x v="0"/>
    <x v="1"/>
    <x v="0"/>
    <n v="12.63"/>
    <n v="1.68"/>
    <n v="10.95"/>
    <n v="5.69"/>
    <n v="1"/>
    <n v="10"/>
    <n v="41.9"/>
    <n v="133"/>
    <n v="1.9"/>
    <n v="10.7"/>
    <s v="keep"/>
  </r>
  <r>
    <s v="U0307"/>
    <x v="25"/>
    <x v="0"/>
    <x v="1"/>
    <x v="2"/>
    <n v="10.07"/>
    <n v="1.71"/>
    <n v="8.36"/>
    <n v="7.21"/>
    <n v="1"/>
    <n v="10"/>
    <n v="43.4"/>
    <n v="173"/>
    <n v="6.5"/>
    <n v="8.1"/>
    <s v="keep"/>
  </r>
  <r>
    <s v="U0308"/>
    <x v="9"/>
    <x v="0"/>
    <x v="1"/>
    <x v="1"/>
    <n v="10.44"/>
    <n v="1.87"/>
    <n v="8.57"/>
    <n v="4.6399999999999997"/>
    <n v="1"/>
    <n v="7.1"/>
    <n v="52.2"/>
    <n v="94"/>
    <n v="5.5"/>
    <n v="9.4"/>
    <s v="keep"/>
  </r>
  <r>
    <s v="U0309"/>
    <x v="6"/>
    <x v="0"/>
    <x v="0"/>
    <x v="1"/>
    <n v="7.77"/>
    <n v="1.38"/>
    <n v="6.39"/>
    <n v="5.87"/>
    <n v="1"/>
    <n v="9.4"/>
    <n v="49.8"/>
    <n v="53"/>
    <n v="5.6"/>
    <n v="14.8"/>
    <s v="keep"/>
  </r>
  <r>
    <s v="U0310"/>
    <x v="1"/>
    <x v="0"/>
    <x v="0"/>
    <x v="0"/>
    <n v="8.4499999999999993"/>
    <n v="2.96"/>
    <n v="5.49"/>
    <n v="6.97"/>
    <n v="2"/>
    <n v="6.3"/>
    <n v="60.2"/>
    <n v="218"/>
    <n v="0"/>
    <n v="39.6"/>
    <s v="keep"/>
  </r>
  <r>
    <s v="U0311"/>
    <x v="1"/>
    <x v="1"/>
    <x v="2"/>
    <x v="0"/>
    <n v="7.77"/>
    <n v="3.57"/>
    <n v="4.2"/>
    <n v="7.28"/>
    <n v="2"/>
    <n v="9.1"/>
    <n v="56.6"/>
    <n v="58"/>
    <n v="5.7"/>
    <n v="19"/>
    <s v="keep"/>
  </r>
  <r>
    <s v="U0312"/>
    <x v="22"/>
    <x v="0"/>
    <x v="0"/>
    <x v="0"/>
    <n v="8.56"/>
    <n v="3.17"/>
    <n v="5.39"/>
    <n v="6.9"/>
    <n v="1"/>
    <n v="9.1"/>
    <n v="49.7"/>
    <n v="0"/>
    <n v="11.4"/>
    <n v="8.8000000000000007"/>
    <s v="keep"/>
  </r>
  <r>
    <s v="U0313"/>
    <x v="4"/>
    <x v="1"/>
    <x v="4"/>
    <x v="1"/>
    <n v="5.18"/>
    <n v="0.73"/>
    <n v="4.45"/>
    <n v="6.42"/>
    <n v="1"/>
    <n v="5.0999999999999996"/>
    <n v="60.8"/>
    <n v="162"/>
    <n v="8.1999999999999993"/>
    <n v="33.6"/>
    <s v="keep"/>
  </r>
  <r>
    <s v="U0314"/>
    <x v="4"/>
    <x v="1"/>
    <x v="1"/>
    <x v="1"/>
    <n v="9.5500000000000007"/>
    <n v="1.33"/>
    <n v="8.2200000000000006"/>
    <n v="6.37"/>
    <n v="1"/>
    <n v="10"/>
    <n v="49.6"/>
    <n v="26"/>
    <n v="0"/>
    <n v="4.5999999999999996"/>
    <s v="keep"/>
  </r>
  <r>
    <s v="U0315"/>
    <x v="25"/>
    <x v="0"/>
    <x v="2"/>
    <x v="2"/>
    <n v="9.73"/>
    <n v="1.55"/>
    <n v="8.18"/>
    <n v="7.35"/>
    <n v="1"/>
    <n v="10"/>
    <n v="38.1"/>
    <n v="174"/>
    <n v="7.8"/>
    <n v="0"/>
    <s v="keep"/>
  </r>
  <r>
    <s v="U0316"/>
    <x v="15"/>
    <x v="1"/>
    <x v="0"/>
    <x v="1"/>
    <n v="6.71"/>
    <n v="1.59"/>
    <n v="5.12"/>
    <n v="7.86"/>
    <n v="1"/>
    <n v="8.3000000000000007"/>
    <n v="55.3"/>
    <n v="91"/>
    <n v="16.2"/>
    <n v="23.3"/>
    <s v="keep"/>
  </r>
  <r>
    <s v="U0317"/>
    <x v="2"/>
    <x v="0"/>
    <x v="0"/>
    <x v="2"/>
    <n v="7.17"/>
    <n v="1.87"/>
    <n v="5.3"/>
    <n v="7.36"/>
    <n v="2"/>
    <n v="5"/>
    <n v="80.2"/>
    <n v="160"/>
    <n v="9.1999999999999993"/>
    <n v="51.1"/>
    <s v="keep"/>
  </r>
  <r>
    <s v="U0318"/>
    <x v="17"/>
    <x v="1"/>
    <x v="2"/>
    <x v="2"/>
    <n v="7.77"/>
    <n v="0.39"/>
    <n v="7.38"/>
    <n v="8.1300000000000008"/>
    <n v="2"/>
    <n v="6.3"/>
    <n v="72.7"/>
    <n v="208"/>
    <n v="0"/>
    <n v="41.2"/>
    <s v="keep"/>
  </r>
  <r>
    <s v="U0319"/>
    <x v="11"/>
    <x v="0"/>
    <x v="0"/>
    <x v="0"/>
    <n v="11.71"/>
    <n v="3.83"/>
    <n v="7.88"/>
    <n v="6.98"/>
    <n v="1"/>
    <n v="10"/>
    <n v="40.6"/>
    <n v="4"/>
    <n v="10.3"/>
    <n v="0"/>
    <s v="keep"/>
  </r>
  <r>
    <s v="U0320"/>
    <x v="1"/>
    <x v="0"/>
    <x v="0"/>
    <x v="1"/>
    <n v="10.02"/>
    <n v="0.5"/>
    <n v="9.52"/>
    <n v="6.28"/>
    <n v="1"/>
    <n v="10"/>
    <n v="40.799999999999997"/>
    <n v="57"/>
    <n v="0"/>
    <n v="2.1"/>
    <s v="keep"/>
  </r>
  <r>
    <s v="U0321"/>
    <x v="15"/>
    <x v="0"/>
    <x v="1"/>
    <x v="0"/>
    <n v="13.4"/>
    <n v="4.99"/>
    <n v="8.41"/>
    <n v="6.17"/>
    <n v="1"/>
    <n v="10"/>
    <n v="43.6"/>
    <n v="72"/>
    <n v="14.1"/>
    <n v="3.1"/>
    <s v="keep"/>
  </r>
  <r>
    <s v="U0322"/>
    <x v="6"/>
    <x v="2"/>
    <x v="1"/>
    <x v="1"/>
    <n v="9.01"/>
    <n v="0.45"/>
    <n v="8.56"/>
    <n v="5.97"/>
    <n v="1"/>
    <n v="6.2"/>
    <n v="63.7"/>
    <n v="214"/>
    <n v="10.6"/>
    <n v="34.9"/>
    <s v="keep"/>
  </r>
  <r>
    <s v="U0323"/>
    <x v="24"/>
    <x v="0"/>
    <x v="4"/>
    <x v="1"/>
    <n v="3.64"/>
    <n v="0.28999999999999998"/>
    <n v="3.35"/>
    <n v="7.7"/>
    <n v="3"/>
    <n v="3"/>
    <n v="88.8"/>
    <n v="87"/>
    <n v="0"/>
    <n v="65.3"/>
    <s v="keep"/>
  </r>
  <r>
    <s v="U0324"/>
    <x v="34"/>
    <x v="1"/>
    <x v="0"/>
    <x v="1"/>
    <n v="9.17"/>
    <n v="0.46"/>
    <n v="8.7100000000000009"/>
    <n v="8.07"/>
    <n v="2"/>
    <n v="7.7"/>
    <n v="54.7"/>
    <n v="69"/>
    <n v="8.1"/>
    <n v="16.2"/>
    <s v="keep"/>
  </r>
  <r>
    <s v="U0325"/>
    <x v="10"/>
    <x v="0"/>
    <x v="0"/>
    <x v="0"/>
    <n v="11.2"/>
    <n v="4.76"/>
    <n v="6.44"/>
    <n v="7.18"/>
    <n v="2"/>
    <n v="8.5"/>
    <n v="40.799999999999997"/>
    <n v="120"/>
    <n v="7.7"/>
    <n v="21.3"/>
    <s v="keep"/>
  </r>
  <r>
    <s v="U0326"/>
    <x v="16"/>
    <x v="1"/>
    <x v="0"/>
    <x v="2"/>
    <n v="9.7799999999999994"/>
    <n v="1.49"/>
    <n v="8.2899999999999991"/>
    <n v="7.95"/>
    <n v="1"/>
    <n v="8.6999999999999993"/>
    <n v="49.5"/>
    <n v="54"/>
    <n v="1.9"/>
    <n v="19.3"/>
    <s v="keep"/>
  </r>
  <r>
    <s v="U0327"/>
    <x v="30"/>
    <x v="0"/>
    <x v="1"/>
    <x v="0"/>
    <n v="8.1199999999999992"/>
    <n v="5.53"/>
    <n v="2.59"/>
    <n v="7.03"/>
    <n v="1"/>
    <n v="8.1999999999999993"/>
    <n v="52.5"/>
    <n v="124"/>
    <n v="5.7"/>
    <n v="9.6999999999999993"/>
    <s v="keep"/>
  </r>
  <r>
    <s v="U0328"/>
    <x v="4"/>
    <x v="1"/>
    <x v="1"/>
    <x v="0"/>
    <n v="9.61"/>
    <n v="3.45"/>
    <n v="6.16"/>
    <n v="8.1"/>
    <n v="2"/>
    <n v="3.1"/>
    <n v="84"/>
    <n v="0"/>
    <n v="2"/>
    <n v="68.400000000000006"/>
    <s v="keep"/>
  </r>
  <r>
    <s v="U0329"/>
    <x v="6"/>
    <x v="0"/>
    <x v="0"/>
    <x v="0"/>
    <n v="13.08"/>
    <n v="2.0499999999999998"/>
    <n v="11.03"/>
    <n v="6.32"/>
    <n v="1"/>
    <n v="10"/>
    <n v="40.5"/>
    <n v="237"/>
    <n v="7.9"/>
    <n v="6.6"/>
    <s v="keep"/>
  </r>
  <r>
    <s v="U0330"/>
    <x v="2"/>
    <x v="0"/>
    <x v="0"/>
    <x v="1"/>
    <n v="10.7"/>
    <n v="2.1800000000000002"/>
    <n v="8.52"/>
    <n v="8.02"/>
    <n v="2"/>
    <n v="8"/>
    <n v="64"/>
    <n v="2"/>
    <n v="3.1"/>
    <n v="26.4"/>
    <s v="keep"/>
  </r>
  <r>
    <s v="U0331"/>
    <x v="19"/>
    <x v="0"/>
    <x v="1"/>
    <x v="0"/>
    <n v="10.31"/>
    <n v="6.31"/>
    <n v="4"/>
    <n v="6.83"/>
    <n v="1"/>
    <n v="10"/>
    <n v="38.4"/>
    <n v="73"/>
    <n v="0"/>
    <n v="0"/>
    <s v="keep"/>
  </r>
  <r>
    <s v="U0332"/>
    <x v="12"/>
    <x v="0"/>
    <x v="0"/>
    <x v="2"/>
    <n v="10.6"/>
    <n v="1.33"/>
    <n v="9.27"/>
    <n v="7.3"/>
    <n v="2"/>
    <n v="8.1"/>
    <n v="62.5"/>
    <n v="88"/>
    <n v="5.3"/>
    <n v="19.100000000000001"/>
    <s v="keep"/>
  </r>
  <r>
    <s v="U0333"/>
    <x v="15"/>
    <x v="1"/>
    <x v="1"/>
    <x v="0"/>
    <n v="11.1"/>
    <n v="3.99"/>
    <n v="7.11"/>
    <n v="7.92"/>
    <n v="3"/>
    <n v="8.1999999999999993"/>
    <n v="57.4"/>
    <n v="225"/>
    <n v="10"/>
    <n v="42.3"/>
    <s v="keep"/>
  </r>
  <r>
    <s v="U0334"/>
    <x v="21"/>
    <x v="0"/>
    <x v="0"/>
    <x v="2"/>
    <n v="10.119999999999999"/>
    <n v="2.4"/>
    <n v="7.72"/>
    <n v="6.67"/>
    <n v="1"/>
    <n v="10"/>
    <n v="47.5"/>
    <n v="2"/>
    <n v="6.6"/>
    <n v="0"/>
    <s v="keep"/>
  </r>
  <r>
    <s v="U0335"/>
    <x v="23"/>
    <x v="1"/>
    <x v="0"/>
    <x v="2"/>
    <n v="6.85"/>
    <n v="0.41"/>
    <n v="6.44"/>
    <n v="7.62"/>
    <n v="2"/>
    <n v="7.8"/>
    <n v="53.8"/>
    <n v="259"/>
    <n v="17.5"/>
    <n v="25.1"/>
    <s v="keep"/>
  </r>
  <r>
    <s v="U0336"/>
    <x v="1"/>
    <x v="0"/>
    <x v="0"/>
    <x v="2"/>
    <n v="9.7200000000000006"/>
    <n v="0.67"/>
    <n v="9.0500000000000007"/>
    <n v="7.95"/>
    <n v="1"/>
    <n v="10"/>
    <n v="44.8"/>
    <n v="152"/>
    <n v="4.4000000000000004"/>
    <n v="10.4"/>
    <s v="keep"/>
  </r>
  <r>
    <s v="U0337"/>
    <x v="24"/>
    <x v="1"/>
    <x v="0"/>
    <x v="1"/>
    <n v="10.6"/>
    <n v="2.29"/>
    <n v="8.31"/>
    <n v="6.63"/>
    <n v="1"/>
    <n v="9.6999999999999993"/>
    <n v="31.4"/>
    <n v="120"/>
    <n v="9.5"/>
    <n v="0"/>
    <s v="keep"/>
  </r>
  <r>
    <s v="U0338"/>
    <x v="17"/>
    <x v="0"/>
    <x v="0"/>
    <x v="2"/>
    <n v="11.54"/>
    <n v="0.95"/>
    <n v="10.59"/>
    <n v="5.58"/>
    <n v="1"/>
    <n v="10"/>
    <n v="39.1"/>
    <n v="18"/>
    <n v="6.7"/>
    <n v="0"/>
    <s v="keep"/>
  </r>
  <r>
    <s v="U0339"/>
    <x v="0"/>
    <x v="0"/>
    <x v="1"/>
    <x v="1"/>
    <n v="11.28"/>
    <n v="2.5"/>
    <n v="8.7799999999999994"/>
    <n v="8.4499999999999993"/>
    <n v="3"/>
    <n v="8.3000000000000007"/>
    <n v="62.5"/>
    <n v="132"/>
    <n v="6.4"/>
    <n v="35.4"/>
    <s v="keep"/>
  </r>
  <r>
    <s v="U0340"/>
    <x v="9"/>
    <x v="1"/>
    <x v="1"/>
    <x v="1"/>
    <n v="8.89"/>
    <n v="0.94"/>
    <n v="7.95"/>
    <n v="6.64"/>
    <n v="1"/>
    <n v="8.8000000000000007"/>
    <n v="46.3"/>
    <n v="52"/>
    <n v="8.1"/>
    <n v="10.3"/>
    <s v="keep"/>
  </r>
  <r>
    <s v="U0341"/>
    <x v="24"/>
    <x v="0"/>
    <x v="0"/>
    <x v="0"/>
    <n v="9.14"/>
    <n v="2.87"/>
    <n v="6.27"/>
    <n v="7.09"/>
    <n v="1"/>
    <n v="9.9"/>
    <n v="38.4"/>
    <n v="188"/>
    <n v="4.7"/>
    <n v="6.2"/>
    <s v="keep"/>
  </r>
  <r>
    <s v="U0342"/>
    <x v="7"/>
    <x v="0"/>
    <x v="0"/>
    <x v="1"/>
    <n v="9.43"/>
    <n v="0.47"/>
    <n v="8.9600000000000009"/>
    <n v="7.92"/>
    <n v="1"/>
    <n v="8.6"/>
    <n v="54.5"/>
    <n v="34"/>
    <n v="10.8"/>
    <n v="10.6"/>
    <s v="keep"/>
  </r>
  <r>
    <s v="U0343"/>
    <x v="7"/>
    <x v="1"/>
    <x v="0"/>
    <x v="0"/>
    <n v="4.96"/>
    <n v="2.68"/>
    <n v="2.2799999999999998"/>
    <n v="7.18"/>
    <n v="1"/>
    <n v="8.1999999999999993"/>
    <n v="57.1"/>
    <n v="121"/>
    <n v="1.4"/>
    <n v="32.799999999999997"/>
    <s v="keep"/>
  </r>
  <r>
    <s v="U0344"/>
    <x v="9"/>
    <x v="1"/>
    <x v="0"/>
    <x v="1"/>
    <n v="4.4800000000000004"/>
    <n v="1.1100000000000001"/>
    <n v="3.37"/>
    <n v="6.87"/>
    <n v="1"/>
    <n v="5.3"/>
    <n v="67.099999999999994"/>
    <n v="90"/>
    <n v="4.8"/>
    <n v="34"/>
    <s v="keep"/>
  </r>
  <r>
    <s v="U0345"/>
    <x v="5"/>
    <x v="0"/>
    <x v="0"/>
    <x v="2"/>
    <n v="6.34"/>
    <n v="0.78"/>
    <n v="5.56"/>
    <n v="7.61"/>
    <n v="2"/>
    <n v="6.8"/>
    <n v="67.5"/>
    <n v="49"/>
    <n v="7"/>
    <n v="33.6"/>
    <s v="keep"/>
  </r>
  <r>
    <s v="U0346"/>
    <x v="7"/>
    <x v="0"/>
    <x v="2"/>
    <x v="1"/>
    <n v="10.42"/>
    <n v="2.58"/>
    <n v="7.84"/>
    <n v="5.41"/>
    <n v="1"/>
    <n v="10"/>
    <n v="58.2"/>
    <n v="148"/>
    <n v="15.3"/>
    <n v="4.9000000000000004"/>
    <s v="keep"/>
  </r>
  <r>
    <s v="U0347"/>
    <x v="13"/>
    <x v="1"/>
    <x v="0"/>
    <x v="1"/>
    <n v="6.85"/>
    <n v="0.44"/>
    <n v="6.41"/>
    <n v="7.02"/>
    <n v="1"/>
    <n v="9"/>
    <n v="58.6"/>
    <n v="148"/>
    <n v="9.6"/>
    <n v="15.6"/>
    <s v="keep"/>
  </r>
  <r>
    <s v="U0348"/>
    <x v="13"/>
    <x v="0"/>
    <x v="1"/>
    <x v="1"/>
    <n v="9.39"/>
    <n v="1.37"/>
    <n v="8.02"/>
    <n v="7.07"/>
    <n v="1"/>
    <n v="7.4"/>
    <n v="61.3"/>
    <n v="180"/>
    <n v="7.5"/>
    <n v="28.5"/>
    <s v="keep"/>
  </r>
  <r>
    <s v="U0349"/>
    <x v="21"/>
    <x v="0"/>
    <x v="0"/>
    <x v="1"/>
    <n v="6.67"/>
    <n v="0.53"/>
    <n v="6.14"/>
    <n v="7.12"/>
    <n v="1"/>
    <n v="8"/>
    <n v="58.6"/>
    <n v="0"/>
    <n v="3.5"/>
    <n v="23.4"/>
    <s v="keep"/>
  </r>
  <r>
    <s v="U0350"/>
    <x v="1"/>
    <x v="0"/>
    <x v="1"/>
    <x v="0"/>
    <n v="10.19"/>
    <n v="5.48"/>
    <n v="4.71"/>
    <n v="5.62"/>
    <n v="1"/>
    <n v="10"/>
    <n v="43.7"/>
    <n v="170"/>
    <n v="8.1"/>
    <n v="0"/>
    <s v="keep"/>
  </r>
  <r>
    <s v="U0351"/>
    <x v="11"/>
    <x v="1"/>
    <x v="1"/>
    <x v="0"/>
    <n v="13.59"/>
    <n v="5.85"/>
    <n v="7.74"/>
    <n v="7.66"/>
    <n v="1"/>
    <n v="10"/>
    <n v="23.2"/>
    <n v="253"/>
    <n v="6"/>
    <n v="0"/>
    <s v="keep"/>
  </r>
  <r>
    <s v="U0353"/>
    <x v="4"/>
    <x v="0"/>
    <x v="1"/>
    <x v="0"/>
    <n v="14.02"/>
    <n v="7.36"/>
    <n v="6.66"/>
    <n v="7.5"/>
    <n v="1"/>
    <n v="10"/>
    <n v="34.1"/>
    <n v="210"/>
    <n v="1.8"/>
    <n v="5.2"/>
    <s v="keep"/>
  </r>
  <r>
    <s v="U0354"/>
    <x v="1"/>
    <x v="0"/>
    <x v="0"/>
    <x v="2"/>
    <n v="7.06"/>
    <n v="1.54"/>
    <n v="5.52"/>
    <n v="7.11"/>
    <n v="1"/>
    <n v="9.1"/>
    <n v="39.799999999999997"/>
    <n v="96"/>
    <n v="5.6"/>
    <n v="5.6"/>
    <s v="keep"/>
  </r>
  <r>
    <s v="U0355"/>
    <x v="19"/>
    <x v="0"/>
    <x v="0"/>
    <x v="2"/>
    <n v="9.8699999999999992"/>
    <n v="2.41"/>
    <n v="7.46"/>
    <n v="6.21"/>
    <n v="1"/>
    <n v="8.8000000000000007"/>
    <n v="41.1"/>
    <n v="2"/>
    <n v="7.1"/>
    <n v="8.5"/>
    <s v="keep"/>
  </r>
  <r>
    <s v="U0356"/>
    <x v="10"/>
    <x v="1"/>
    <x v="0"/>
    <x v="1"/>
    <n v="6.97"/>
    <n v="0.35"/>
    <n v="6.62"/>
    <n v="7.48"/>
    <n v="1"/>
    <n v="7.1"/>
    <n v="47.3"/>
    <n v="90"/>
    <n v="6.5"/>
    <n v="13.6"/>
    <s v="keep"/>
  </r>
  <r>
    <s v="U0357"/>
    <x v="19"/>
    <x v="0"/>
    <x v="0"/>
    <x v="2"/>
    <n v="12.02"/>
    <n v="2.21"/>
    <n v="9.81"/>
    <n v="6.41"/>
    <n v="1"/>
    <n v="10"/>
    <n v="39.700000000000003"/>
    <n v="159"/>
    <n v="11.7"/>
    <n v="12"/>
    <s v="keep"/>
  </r>
  <r>
    <s v="U0358"/>
    <x v="17"/>
    <x v="0"/>
    <x v="1"/>
    <x v="1"/>
    <n v="6.9"/>
    <n v="0.77"/>
    <n v="6.13"/>
    <n v="6.39"/>
    <n v="1"/>
    <n v="7.4"/>
    <n v="63"/>
    <n v="56"/>
    <n v="1.5"/>
    <n v="28.3"/>
    <s v="keep"/>
  </r>
  <r>
    <s v="U0359"/>
    <x v="11"/>
    <x v="1"/>
    <x v="0"/>
    <x v="0"/>
    <n v="5.74"/>
    <n v="1.57"/>
    <n v="4.17"/>
    <n v="8.73"/>
    <n v="2"/>
    <n v="4.3"/>
    <n v="84.8"/>
    <n v="83"/>
    <n v="12.2"/>
    <n v="47.2"/>
    <s v="keep"/>
  </r>
  <r>
    <s v="U0360"/>
    <x v="24"/>
    <x v="0"/>
    <x v="0"/>
    <x v="1"/>
    <n v="10.97"/>
    <n v="1.43"/>
    <n v="9.5399999999999991"/>
    <n v="6.19"/>
    <n v="1"/>
    <n v="9.5"/>
    <n v="46"/>
    <n v="130"/>
    <n v="12.3"/>
    <n v="0.4"/>
    <s v="keep"/>
  </r>
  <r>
    <s v="U0361"/>
    <x v="6"/>
    <x v="1"/>
    <x v="1"/>
    <x v="1"/>
    <n v="10.24"/>
    <n v="0.51"/>
    <n v="9.73"/>
    <n v="5.43"/>
    <n v="1"/>
    <n v="10"/>
    <n v="36.9"/>
    <n v="99"/>
    <n v="6.6"/>
    <n v="0"/>
    <s v="keep"/>
  </r>
  <r>
    <s v="U0362"/>
    <x v="3"/>
    <x v="0"/>
    <x v="0"/>
    <x v="2"/>
    <n v="6.26"/>
    <n v="0.94"/>
    <n v="5.32"/>
    <n v="8.64"/>
    <n v="2"/>
    <n v="3.8"/>
    <n v="67.8"/>
    <n v="167"/>
    <n v="2.7"/>
    <n v="57.1"/>
    <s v="keep"/>
  </r>
  <r>
    <s v="U0363"/>
    <x v="19"/>
    <x v="0"/>
    <x v="1"/>
    <x v="2"/>
    <n v="11.49"/>
    <n v="0.75"/>
    <n v="10.74"/>
    <n v="6.26"/>
    <n v="1"/>
    <n v="10"/>
    <n v="30.2"/>
    <n v="105"/>
    <n v="7.6"/>
    <n v="0"/>
    <s v="keep"/>
  </r>
  <r>
    <s v="U0364"/>
    <x v="0"/>
    <x v="0"/>
    <x v="1"/>
    <x v="1"/>
    <n v="10.39"/>
    <n v="0.52"/>
    <n v="9.8699999999999992"/>
    <n v="6.39"/>
    <n v="1"/>
    <n v="10"/>
    <n v="34.799999999999997"/>
    <n v="131"/>
    <n v="8.3000000000000007"/>
    <n v="0"/>
    <s v="keep"/>
  </r>
  <r>
    <s v="U0365"/>
    <x v="2"/>
    <x v="1"/>
    <x v="0"/>
    <x v="0"/>
    <n v="8.7200000000000006"/>
    <n v="2.36"/>
    <n v="6.36"/>
    <n v="5.73"/>
    <n v="1"/>
    <n v="10"/>
    <n v="39.6"/>
    <n v="78"/>
    <n v="6.7"/>
    <n v="3.3"/>
    <s v="keep"/>
  </r>
  <r>
    <s v="U0366"/>
    <x v="5"/>
    <x v="1"/>
    <x v="1"/>
    <x v="0"/>
    <n v="11.58"/>
    <n v="5.71"/>
    <n v="5.87"/>
    <n v="8.02"/>
    <n v="3"/>
    <n v="9.9"/>
    <n v="52.1"/>
    <n v="103"/>
    <n v="5.7"/>
    <n v="22.3"/>
    <s v="keep"/>
  </r>
  <r>
    <s v="U0367"/>
    <x v="7"/>
    <x v="1"/>
    <x v="0"/>
    <x v="2"/>
    <n v="7.73"/>
    <n v="1.52"/>
    <n v="6.21"/>
    <n v="6.22"/>
    <n v="1"/>
    <n v="7.1"/>
    <n v="51.9"/>
    <n v="47"/>
    <n v="16.399999999999999"/>
    <n v="20.7"/>
    <s v="keep"/>
  </r>
  <r>
    <s v="U0368"/>
    <x v="15"/>
    <x v="0"/>
    <x v="0"/>
    <x v="0"/>
    <n v="11.64"/>
    <n v="6.11"/>
    <n v="5.53"/>
    <n v="6.7"/>
    <n v="2"/>
    <n v="10"/>
    <n v="48.6"/>
    <n v="178"/>
    <n v="2"/>
    <n v="8.1999999999999993"/>
    <s v="keep"/>
  </r>
  <r>
    <s v="U0369"/>
    <x v="15"/>
    <x v="1"/>
    <x v="2"/>
    <x v="0"/>
    <n v="8.06"/>
    <n v="2.81"/>
    <n v="5.25"/>
    <n v="7.92"/>
    <n v="2"/>
    <n v="6.8"/>
    <n v="63.3"/>
    <n v="65"/>
    <n v="0"/>
    <n v="37.299999999999997"/>
    <s v="keep"/>
  </r>
  <r>
    <s v="U0370"/>
    <x v="24"/>
    <x v="0"/>
    <x v="1"/>
    <x v="0"/>
    <n v="9.0500000000000007"/>
    <n v="3.83"/>
    <n v="5.22"/>
    <n v="7.31"/>
    <n v="1"/>
    <n v="7.4"/>
    <n v="54.9"/>
    <n v="179"/>
    <n v="9.5"/>
    <n v="18.5"/>
    <s v="keep"/>
  </r>
  <r>
    <s v="U0371"/>
    <x v="15"/>
    <x v="0"/>
    <x v="1"/>
    <x v="0"/>
    <n v="12.03"/>
    <n v="4.84"/>
    <n v="7.19"/>
    <n v="6.55"/>
    <n v="1"/>
    <n v="10"/>
    <n v="46.8"/>
    <n v="69"/>
    <n v="13.9"/>
    <n v="1.2"/>
    <s v="keep"/>
  </r>
  <r>
    <s v="U0372"/>
    <x v="0"/>
    <x v="1"/>
    <x v="1"/>
    <x v="0"/>
    <n v="11.21"/>
    <n v="4.8099999999999996"/>
    <n v="6.4"/>
    <n v="5.39"/>
    <n v="1"/>
    <n v="10"/>
    <n v="34.1"/>
    <n v="106"/>
    <n v="7.9"/>
    <n v="0.5"/>
    <s v="keep"/>
  </r>
  <r>
    <s v="U0373"/>
    <x v="14"/>
    <x v="0"/>
    <x v="0"/>
    <x v="1"/>
    <n v="10.37"/>
    <n v="0.81"/>
    <n v="9.56"/>
    <n v="6.31"/>
    <n v="1"/>
    <n v="10"/>
    <n v="45"/>
    <n v="67"/>
    <n v="1.8"/>
    <n v="3"/>
    <s v="keep"/>
  </r>
  <r>
    <s v="U0374"/>
    <x v="23"/>
    <x v="0"/>
    <x v="0"/>
    <x v="2"/>
    <n v="5.98"/>
    <n v="0.5"/>
    <n v="5.48"/>
    <n v="7.72"/>
    <n v="2"/>
    <n v="5.6"/>
    <n v="72.5"/>
    <n v="55"/>
    <n v="5"/>
    <n v="43.3"/>
    <s v="keep"/>
  </r>
  <r>
    <s v="U0375"/>
    <x v="28"/>
    <x v="0"/>
    <x v="1"/>
    <x v="1"/>
    <n v="7.77"/>
    <n v="0.96"/>
    <n v="6.81"/>
    <n v="6.77"/>
    <n v="1"/>
    <n v="10"/>
    <n v="44.3"/>
    <n v="0"/>
    <n v="0"/>
    <n v="0"/>
    <s v="keep"/>
  </r>
  <r>
    <s v="U0376"/>
    <x v="24"/>
    <x v="0"/>
    <x v="4"/>
    <x v="2"/>
    <n v="10.19"/>
    <n v="2.64"/>
    <n v="7.55"/>
    <n v="6.96"/>
    <n v="1"/>
    <n v="8"/>
    <n v="56"/>
    <n v="19"/>
    <n v="11.1"/>
    <n v="13.8"/>
    <s v="keep"/>
  </r>
  <r>
    <s v="U0377"/>
    <x v="4"/>
    <x v="0"/>
    <x v="1"/>
    <x v="0"/>
    <n v="11.61"/>
    <n v="5.33"/>
    <n v="6.28"/>
    <n v="7.26"/>
    <n v="2"/>
    <n v="8.1999999999999993"/>
    <n v="59.1"/>
    <n v="69"/>
    <n v="0"/>
    <n v="25.1"/>
    <s v="keep"/>
  </r>
  <r>
    <s v="U0378"/>
    <x v="7"/>
    <x v="1"/>
    <x v="0"/>
    <x v="2"/>
    <n v="6.03"/>
    <n v="0.79"/>
    <n v="5.24"/>
    <n v="8.2799999999999994"/>
    <n v="2"/>
    <n v="3.2"/>
    <n v="76.5"/>
    <n v="137"/>
    <n v="9.4"/>
    <n v="50.5"/>
    <s v="keep"/>
  </r>
  <r>
    <s v="U0379"/>
    <x v="28"/>
    <x v="0"/>
    <x v="0"/>
    <x v="2"/>
    <n v="5"/>
    <n v="0.67"/>
    <n v="4.33"/>
    <n v="6.84"/>
    <n v="1"/>
    <n v="6.6"/>
    <n v="63"/>
    <n v="207"/>
    <n v="4.5999999999999996"/>
    <n v="27.3"/>
    <s v="keep"/>
  </r>
  <r>
    <s v="U0380"/>
    <x v="24"/>
    <x v="1"/>
    <x v="2"/>
    <x v="0"/>
    <n v="9.6199999999999992"/>
    <n v="4.12"/>
    <n v="5.5"/>
    <n v="8.64"/>
    <n v="2"/>
    <n v="8.6999999999999993"/>
    <n v="56.5"/>
    <n v="66"/>
    <n v="9.1999999999999993"/>
    <n v="23.8"/>
    <s v="keep"/>
  </r>
  <r>
    <s v="U0381"/>
    <x v="24"/>
    <x v="1"/>
    <x v="0"/>
    <x v="2"/>
    <n v="14.02"/>
    <n v="3.21"/>
    <n v="10.81"/>
    <n v="6.84"/>
    <n v="3"/>
    <n v="10"/>
    <n v="47.3"/>
    <n v="9"/>
    <n v="6.6"/>
    <n v="10.199999999999999"/>
    <s v="keep"/>
  </r>
  <r>
    <s v="U0382"/>
    <x v="9"/>
    <x v="0"/>
    <x v="2"/>
    <x v="0"/>
    <n v="14.07"/>
    <n v="4.54"/>
    <n v="9.5299999999999994"/>
    <n v="6.24"/>
    <n v="1"/>
    <n v="10"/>
    <n v="40.4"/>
    <n v="0"/>
    <n v="5.8"/>
    <n v="5.8"/>
    <s v="keep"/>
  </r>
  <r>
    <s v="U0383"/>
    <x v="8"/>
    <x v="0"/>
    <x v="0"/>
    <x v="2"/>
    <n v="7.41"/>
    <n v="1.01"/>
    <n v="6.4"/>
    <n v="8.02"/>
    <n v="3"/>
    <n v="4.9000000000000004"/>
    <n v="81"/>
    <n v="140"/>
    <n v="7.2"/>
    <n v="67.8"/>
    <s v="keep"/>
  </r>
  <r>
    <s v="U0385"/>
    <x v="24"/>
    <x v="1"/>
    <x v="1"/>
    <x v="0"/>
    <n v="10.23"/>
    <n v="6.7"/>
    <n v="3.53"/>
    <n v="5.64"/>
    <n v="1"/>
    <n v="10"/>
    <n v="33.5"/>
    <n v="182"/>
    <n v="11.3"/>
    <n v="8.8000000000000007"/>
    <s v="keep"/>
  </r>
  <r>
    <s v="U0386"/>
    <x v="7"/>
    <x v="0"/>
    <x v="2"/>
    <x v="0"/>
    <n v="10.44"/>
    <n v="3.97"/>
    <n v="6.47"/>
    <n v="6.66"/>
    <n v="1"/>
    <n v="7.8"/>
    <n v="50.4"/>
    <n v="146"/>
    <n v="6.4"/>
    <n v="16.7"/>
    <s v="keep"/>
  </r>
  <r>
    <s v="U0387"/>
    <x v="11"/>
    <x v="1"/>
    <x v="0"/>
    <x v="1"/>
    <n v="5.84"/>
    <n v="0.4"/>
    <n v="5.44"/>
    <n v="5.64"/>
    <n v="1"/>
    <n v="10"/>
    <n v="43.8"/>
    <n v="169"/>
    <n v="6.7"/>
    <n v="7"/>
    <s v="keep"/>
  </r>
  <r>
    <s v="U0388"/>
    <x v="26"/>
    <x v="0"/>
    <x v="2"/>
    <x v="2"/>
    <n v="8.6199999999999992"/>
    <n v="1.94"/>
    <n v="6.68"/>
    <n v="7.41"/>
    <n v="1"/>
    <n v="9.6999999999999993"/>
    <n v="49.9"/>
    <n v="233"/>
    <n v="18.5"/>
    <n v="7.1"/>
    <s v="keep"/>
  </r>
  <r>
    <s v="U0389"/>
    <x v="23"/>
    <x v="1"/>
    <x v="0"/>
    <x v="0"/>
    <n v="10.34"/>
    <n v="3.55"/>
    <n v="6.79"/>
    <n v="7.21"/>
    <n v="1"/>
    <n v="10"/>
    <n v="32.799999999999997"/>
    <n v="123"/>
    <n v="9.5"/>
    <n v="4.5"/>
    <s v="keep"/>
  </r>
  <r>
    <s v="U0390"/>
    <x v="9"/>
    <x v="0"/>
    <x v="0"/>
    <x v="1"/>
    <n v="10.47"/>
    <n v="1.05"/>
    <n v="9.42"/>
    <n v="6.75"/>
    <n v="2"/>
    <n v="10"/>
    <n v="50.4"/>
    <n v="138"/>
    <n v="6.3"/>
    <n v="16.8"/>
    <s v="keep"/>
  </r>
  <r>
    <s v="U0391"/>
    <x v="12"/>
    <x v="0"/>
    <x v="0"/>
    <x v="0"/>
    <n v="11.79"/>
    <n v="6.19"/>
    <n v="5.6"/>
    <n v="6.03"/>
    <n v="1"/>
    <n v="10"/>
    <n v="36.5"/>
    <n v="61"/>
    <n v="11.7"/>
    <n v="0"/>
    <s v="keep"/>
  </r>
  <r>
    <s v="U0392"/>
    <x v="0"/>
    <x v="1"/>
    <x v="0"/>
    <x v="2"/>
    <n v="7.49"/>
    <n v="1.21"/>
    <n v="6.28"/>
    <n v="5.67"/>
    <n v="1"/>
    <n v="7.8"/>
    <n v="51.2"/>
    <n v="19"/>
    <n v="17.600000000000001"/>
    <n v="7.7"/>
    <s v="keep"/>
  </r>
  <r>
    <s v="U0393"/>
    <x v="20"/>
    <x v="1"/>
    <x v="1"/>
    <x v="1"/>
    <n v="10.75"/>
    <n v="0.84"/>
    <n v="9.91"/>
    <n v="6.98"/>
    <n v="1"/>
    <n v="9.6999999999999993"/>
    <n v="34.4"/>
    <n v="40"/>
    <n v="9"/>
    <n v="0"/>
    <s v="keep"/>
  </r>
  <r>
    <s v="U0394"/>
    <x v="18"/>
    <x v="0"/>
    <x v="1"/>
    <x v="0"/>
    <n v="10.97"/>
    <n v="4.21"/>
    <n v="6.76"/>
    <n v="8.06"/>
    <n v="1"/>
    <n v="10"/>
    <n v="38.799999999999997"/>
    <n v="99"/>
    <n v="9.4"/>
    <n v="1.9"/>
    <s v="keep"/>
  </r>
  <r>
    <s v="U0395"/>
    <x v="30"/>
    <x v="1"/>
    <x v="1"/>
    <x v="0"/>
    <n v="14"/>
    <n v="6.2"/>
    <n v="7.8"/>
    <n v="5.92"/>
    <n v="1"/>
    <n v="10"/>
    <n v="43.5"/>
    <n v="83"/>
    <n v="0.7"/>
    <n v="5.7"/>
    <s v="keep"/>
  </r>
  <r>
    <s v="U0396"/>
    <x v="5"/>
    <x v="0"/>
    <x v="1"/>
    <x v="0"/>
    <n v="6.43"/>
    <n v="2.99"/>
    <n v="3.44"/>
    <n v="7.75"/>
    <n v="1"/>
    <n v="5.9"/>
    <n v="64.599999999999994"/>
    <n v="252"/>
    <n v="7.6"/>
    <n v="39.299999999999997"/>
    <s v="keep"/>
  </r>
  <r>
    <s v="U0397"/>
    <x v="8"/>
    <x v="1"/>
    <x v="2"/>
    <x v="0"/>
    <n v="9.59"/>
    <n v="5.44"/>
    <n v="4.1500000000000004"/>
    <n v="5.57"/>
    <n v="1"/>
    <n v="10"/>
    <n v="47.4"/>
    <n v="99"/>
    <n v="7"/>
    <n v="3.5"/>
    <s v="keep"/>
  </r>
  <r>
    <s v="U0398"/>
    <x v="25"/>
    <x v="1"/>
    <x v="1"/>
    <x v="0"/>
    <n v="8.7200000000000006"/>
    <n v="2.36"/>
    <n v="6.36"/>
    <n v="7.56"/>
    <n v="1"/>
    <n v="9.4"/>
    <n v="57.3"/>
    <n v="193"/>
    <n v="10.1"/>
    <n v="6.6"/>
    <s v="keep"/>
  </r>
  <r>
    <s v="U0399"/>
    <x v="19"/>
    <x v="0"/>
    <x v="3"/>
    <x v="2"/>
    <n v="5.04"/>
    <n v="0.94"/>
    <n v="4.0999999999999996"/>
    <n v="7.32"/>
    <n v="1"/>
    <n v="7.1"/>
    <n v="63.6"/>
    <n v="97"/>
    <n v="12.1"/>
    <n v="21"/>
    <s v="keep"/>
  </r>
  <r>
    <s v="U0400"/>
    <x v="30"/>
    <x v="0"/>
    <x v="0"/>
    <x v="0"/>
    <n v="8.86"/>
    <n v="3.82"/>
    <n v="5.04"/>
    <n v="6.55"/>
    <n v="1"/>
    <n v="10"/>
    <n v="41.4"/>
    <n v="88"/>
    <n v="9.8000000000000007"/>
    <n v="8.4"/>
    <s v="kee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19F4D-079B-4493-9CB9-AC7CA35AB68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A22" firstHeaderRow="1" firstDataRow="1" firstDataCol="0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1" subtotal="average" baseField="0" baseItem="0" numFmtId="2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79E99-A764-4299-9BFA-5B9771994E1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16">
    <pivotField showAll="0"/>
    <pivotField showAll="0">
      <items count="37">
        <item x="8"/>
        <item x="29"/>
        <item x="13"/>
        <item x="20"/>
        <item x="16"/>
        <item x="10"/>
        <item x="12"/>
        <item x="24"/>
        <item x="21"/>
        <item x="9"/>
        <item x="5"/>
        <item x="17"/>
        <item x="1"/>
        <item x="19"/>
        <item x="15"/>
        <item x="7"/>
        <item x="11"/>
        <item x="0"/>
        <item x="6"/>
        <item x="2"/>
        <item x="4"/>
        <item x="23"/>
        <item x="22"/>
        <item x="30"/>
        <item x="25"/>
        <item x="14"/>
        <item x="3"/>
        <item x="35"/>
        <item x="18"/>
        <item x="26"/>
        <item x="34"/>
        <item x="28"/>
        <item x="33"/>
        <item x="27"/>
        <item x="31"/>
        <item x="32"/>
        <item t="default"/>
      </items>
    </pivotField>
    <pivotField showAll="0"/>
    <pivotField showAll="0"/>
    <pivotField axis="axisRow" dataField="1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work_mod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903CA-26C3-4714-A94B-5490894D342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3" firstHeaderRow="1" firstDataRow="1" firstDataCol="1"/>
  <pivotFields count="16">
    <pivotField showAll="0"/>
    <pivotField showAll="0"/>
    <pivotField showAll="0"/>
    <pivotField axis="axisRow" dataField="1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ccupa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F9802-AB79-420E-8E89-45E968BA2F1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16">
    <pivotField showAll="0"/>
    <pivotField showAll="0">
      <items count="37">
        <item x="8"/>
        <item x="29"/>
        <item x="13"/>
        <item x="20"/>
        <item x="16"/>
        <item x="10"/>
        <item x="12"/>
        <item x="24"/>
        <item x="21"/>
        <item x="9"/>
        <item x="5"/>
        <item x="17"/>
        <item x="1"/>
        <item x="19"/>
        <item x="15"/>
        <item x="7"/>
        <item x="11"/>
        <item x="0"/>
        <item x="6"/>
        <item x="2"/>
        <item x="4"/>
        <item x="23"/>
        <item x="22"/>
        <item x="30"/>
        <item x="25"/>
        <item x="14"/>
        <item x="3"/>
        <item x="35"/>
        <item x="18"/>
        <item x="26"/>
        <item x="34"/>
        <item x="28"/>
        <item x="33"/>
        <item x="27"/>
        <item x="31"/>
        <item x="32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E4D91A8-876E-471D-961A-97FABF70F585}" autoFormatId="16" applyNumberFormats="0" applyBorderFormats="0" applyFontFormats="0" applyPatternFormats="0" applyAlignmentFormats="0" applyWidthHeightFormats="0">
  <queryTableRefresh nextId="17" unboundColumnsRight="1">
    <queryTableFields count="13">
      <queryTableField id="1" name="Column1" tableColumnId="1"/>
      <queryTableField id="2" name="age" tableColumnId="2"/>
      <queryTableField id="3" name="gender" tableColumnId="3"/>
      <queryTableField id="4" name="occupation" tableColumnId="4"/>
      <queryTableField id="5" name="work_mode" tableColumnId="5"/>
      <queryTableField id="6" name="screen_time_hours" tableColumnId="6"/>
      <queryTableField id="7" name="work_screen_hours" tableColumnId="7"/>
      <queryTableField id="8" name="leisure_screen_hours" tableColumnId="8"/>
      <queryTableField id="11" name="stress_level_0_10" tableColumnId="11"/>
      <queryTableField id="12" name="productivity_0_100" tableColumnId="12"/>
      <queryTableField id="13" name="exercise_minutes_per_week" tableColumnId="13"/>
      <queryTableField id="14" name="social_hours_per_week" tableColumnId="14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8FD9FBEA-B6D5-4836-B577-A79877AAC5DF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Column1" tableColumnId="1"/>
      <queryTableField id="2" name="age" tableColumnId="2"/>
      <queryTableField id="3" name="gender" tableColumnId="3"/>
      <queryTableField id="4" name="work_mode" tableColumnId="4"/>
      <queryTableField id="6" name="productivity_0_100" tableColumnId="6"/>
      <queryTableField id="5" name="stress_level_0_10" tableColumnId="5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EAF6830-6C08-4F02-982C-1C441E8D7BD4}" autoFormatId="16" applyNumberFormats="0" applyBorderFormats="0" applyFontFormats="0" applyPatternFormats="0" applyAlignmentFormats="0" applyWidthHeightFormats="0">
  <queryTableRefresh nextId="7" unboundColumnsRight="2">
    <queryTableFields count="3">
      <queryTableField id="4" name="work_mode" tableColumnId="4"/>
      <queryTableField id="5" dataBound="0" tableColumnId="5"/>
      <queryTableField id="6" dataBound="0" tableColumnId="6"/>
    </queryTableFields>
    <queryTableDeletedFields count="5">
      <deletedField name="Column1"/>
      <deletedField name="age"/>
      <deletedField name="gender"/>
      <deletedField name="stress_level_0_10"/>
      <deletedField name="productivity_0_100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E97A094-C03B-4D01-9EBA-2D039E45D4F7}" autoFormatId="16" applyNumberFormats="0" applyBorderFormats="0" applyFontFormats="0" applyPatternFormats="0" applyAlignmentFormats="0" applyWidthHeightFormats="0">
  <queryTableRefresh nextId="7" unboundColumnsRight="2">
    <queryTableFields count="3">
      <queryTableField id="4" name="work_mode" tableColumnId="4"/>
      <queryTableField id="5" dataBound="0" tableColumnId="5"/>
      <queryTableField id="6" dataBound="0" tableColumnId="6"/>
    </queryTableFields>
    <queryTableDeletedFields count="5">
      <deletedField name="Column1"/>
      <deletedField name="age"/>
      <deletedField name="gender"/>
      <deletedField name="stress_level_0_10"/>
      <deletedField name="productivity_0_100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514F97F-DCFE-4B3A-B83C-01A2A5A3789E}" autoFormatId="16" applyNumberFormats="0" applyBorderFormats="0" applyFontFormats="0" applyPatternFormats="0" applyAlignmentFormats="0" applyWidthHeightFormats="0">
  <queryTableRefresh nextId="7" unboundColumnsRight="2">
    <queryTableFields count="3">
      <queryTableField id="4" name="work_mode" tableColumnId="4"/>
      <queryTableField id="5" dataBound="0" tableColumnId="5"/>
      <queryTableField id="6" dataBound="0" tableColumnId="6"/>
    </queryTableFields>
    <queryTableDeletedFields count="5">
      <deletedField name="Column1"/>
      <deletedField name="age"/>
      <deletedField name="gender"/>
      <deletedField name="stress_level_0_10"/>
      <deletedField name="productivity_0_100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8F63BC7-6B42-42C9-9803-75612B1E9CF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screen_time_hours" tableColumnId="2"/>
      <queryTableField id="3" name="work_screen_hours" tableColumnId="3"/>
      <queryTableField id="4" name="leisure_screen_hours" tableColumnId="4"/>
      <queryTableField id="5" name="productivity_0_100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1A991-BD1E-4CA6-9712-A9D611D4FD65}" name="ScreenTime_vs_MentalWellness" displayName="ScreenTime_vs_MentalWellness" ref="A1:O401" totalsRowShown="0">
  <autoFilter ref="A1:O401" xr:uid="{E611A991-BD1E-4CA6-9712-A9D611D4FD65}"/>
  <tableColumns count="15">
    <tableColumn id="1" xr3:uid="{EFCC3D23-5A00-4A4B-A73D-56937F80A7B4}" name="Column1" dataDxfId="17"/>
    <tableColumn id="2" xr3:uid="{726F453B-3770-4B81-BAE1-A588B6E0D9C7}" name="age"/>
    <tableColumn id="3" xr3:uid="{36CB6A78-2EC9-4169-823B-34733A544DD9}" name="gender" dataDxfId="16"/>
    <tableColumn id="4" xr3:uid="{178ECE87-109A-4C10-8390-020CF105620C}" name="occupation" dataDxfId="15"/>
    <tableColumn id="5" xr3:uid="{8BBD5FE1-C740-4E6D-9A17-2EC935348517}" name="work_mode" dataDxfId="14"/>
    <tableColumn id="6" xr3:uid="{674303D0-1222-4C5F-A702-2B4F007DDEBF}" name="screen_time_hours"/>
    <tableColumn id="7" xr3:uid="{79DC96A5-CF1D-4F4D-A944-E805F5D81FBF}" name="work_screen_hours"/>
    <tableColumn id="8" xr3:uid="{9E3F5A2B-8298-4C0F-999D-8300326276EE}" name="leisure_screen_hours"/>
    <tableColumn id="9" xr3:uid="{D850B2B2-B636-49CD-A8A3-104EF11F3737}" name="sleep_hours"/>
    <tableColumn id="10" xr3:uid="{A32E9323-DCCB-4BCE-A4F6-B30DBC64D1F4}" name="sleep_quality_1_5"/>
    <tableColumn id="11" xr3:uid="{E2BB20DB-0928-4467-A69A-AB5695CBFECC}" name="stress_level_0_10"/>
    <tableColumn id="12" xr3:uid="{05181F82-53F8-45D8-B658-C5F8D64B0250}" name="productivity_0_100"/>
    <tableColumn id="13" xr3:uid="{4D8ED92B-5D65-4796-BED4-3F7AAB0488F1}" name="exercise_minutes_per_week"/>
    <tableColumn id="14" xr3:uid="{83F49034-4A3E-47FE-80B5-A4088EB75773}" name="social_hours_per_week"/>
    <tableColumn id="15" xr3:uid="{E2583823-9694-4FA8-ADBF-2C314A575F4A}" name="mental_wellness_index_0_1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92D6B4-6E01-4650-9565-76289D4BF4E6}" name="ScreenTime_vs_MentalWellness__2" displayName="ScreenTime_vs_MentalWellness__2" ref="A1:M394" tableType="queryTable" totalsRowShown="0">
  <autoFilter ref="A1:M394" xr:uid="{CC92D6B4-6E01-4650-9565-76289D4BF4E6}"/>
  <tableColumns count="13">
    <tableColumn id="1" xr3:uid="{F4D42B6A-888C-4C0F-B051-D666CB29B62F}" uniqueName="1" name="Column1" queryTableFieldId="1" dataDxfId="13"/>
    <tableColumn id="2" xr3:uid="{61DC40F9-1E38-4ABE-BFAB-09F7CF3793DD}" uniqueName="2" name="age" queryTableFieldId="2"/>
    <tableColumn id="3" xr3:uid="{9E185A19-EFD2-4E6A-AD6F-F75B1AE53607}" uniqueName="3" name="gender" queryTableFieldId="3" dataDxfId="12"/>
    <tableColumn id="4" xr3:uid="{E3CDE476-D112-4FBE-9D81-37C81F9B17BB}" uniqueName="4" name="occupation" queryTableFieldId="4" dataDxfId="11"/>
    <tableColumn id="5" xr3:uid="{2AFC70F5-B2AA-459F-93A0-BDE0AFB12D2F}" uniqueName="5" name="work_mode" queryTableFieldId="5" dataDxfId="10"/>
    <tableColumn id="6" xr3:uid="{C9099270-7181-41E7-8D6A-30DC53099916}" uniqueName="6" name="screen_time_hours" queryTableFieldId="6"/>
    <tableColumn id="7" xr3:uid="{89E474FF-0D6B-4BCF-936B-A4FD19D1B4AD}" uniqueName="7" name="work_screen_hours" queryTableFieldId="7"/>
    <tableColumn id="8" xr3:uid="{3E4B9F4E-DCE3-4FCB-AB5D-6B25C2516B5D}" uniqueName="8" name="leisure_screen_hours" queryTableFieldId="8"/>
    <tableColumn id="11" xr3:uid="{D0916C1F-F3C7-47B8-9539-76295C425397}" uniqueName="11" name="stress_level_0_10" queryTableFieldId="11"/>
    <tableColumn id="12" xr3:uid="{33430221-C22C-460C-9945-CA23A9AA55A5}" uniqueName="12" name="productivity_0_100" queryTableFieldId="12"/>
    <tableColumn id="13" xr3:uid="{BCB85FC0-8444-4CC0-B6B8-36A3262E6EF8}" uniqueName="13" name="exercise_minutes_per_week" queryTableFieldId="13"/>
    <tableColumn id="14" xr3:uid="{A973B81F-AE7E-4F45-A66C-A4764AF18897}" uniqueName="14" name="social_hours_per_week" queryTableFieldId="14"/>
    <tableColumn id="16" xr3:uid="{CACF0CC4-E26A-4DC3-8387-0B43C569BFCE}" uniqueName="16" name="outlier Productivity" queryTableFieldId="16" dataDxfId="9">
      <calculatedColumnFormula>IF(OR(ScreenTime_vs_MentalWellness__2[[#This Row],[productivity_0_100]] &lt; 'Productivity IQR'!$D$2, ScreenTime_vs_MentalWellness__2[[#This Row],[productivity_0_100]] &gt; 'Productivity IQR'!$D$3), "remove", "keep")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785005-2C3F-4E0C-8F92-89340F831D1B}" name="Stress_And_Productivity_1" displayName="Stress_And_Productivity_1" ref="A1:G394" tableType="queryTable" totalsRowShown="0">
  <autoFilter ref="A1:G394" xr:uid="{B8785005-2C3F-4E0C-8F92-89340F831D1B}"/>
  <tableColumns count="7">
    <tableColumn id="1" xr3:uid="{C6E74F48-0A7F-4AD2-96A7-D4D3BE221897}" uniqueName="1" name="Column1" queryTableFieldId="1" dataDxfId="7"/>
    <tableColumn id="2" xr3:uid="{B8FFD385-E686-43C5-BABA-EAD570B9A0CE}" uniqueName="2" name="age" queryTableFieldId="2"/>
    <tableColumn id="3" xr3:uid="{98013466-6412-479E-9EF1-D0B131C7F1F6}" uniqueName="3" name="gender" queryTableFieldId="3" dataDxfId="6"/>
    <tableColumn id="4" xr3:uid="{C89E3128-304B-4FEC-B829-A092E9DE5CA4}" uniqueName="4" name="work_mode" queryTableFieldId="4" dataDxfId="5"/>
    <tableColumn id="6" xr3:uid="{861BF20C-108A-4277-99CB-6931B2990A39}" uniqueName="6" name="productivity_0_100" queryTableFieldId="6"/>
    <tableColumn id="5" xr3:uid="{3D3942D2-0875-49D1-8AA2-EFF750E9EC6F}" uniqueName="5" name="stress_level_0_10" queryTableFieldId="5"/>
    <tableColumn id="7" xr3:uid="{28B07B63-A838-4BA0-8002-ECDE20BED7F5}" uniqueName="7" name="Stess 0-100" queryTableFieldId="7" dataDxfId="4">
      <calculatedColumnFormula>Stress_And_Productivity_1[[#This Row],[stress_level_0_10]]*10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6CF440-55AF-4962-836E-4DBFB8E8878C}" name="Remote_Stress_And_Productivity__2" displayName="Remote_Stress_And_Productivity__2" ref="A1:C151" tableType="queryTable" totalsRowShown="0">
  <autoFilter ref="A1:C151" xr:uid="{2C6CF440-55AF-4962-836E-4DBFB8E8878C}"/>
  <tableColumns count="3">
    <tableColumn id="4" xr3:uid="{4C1679B3-BD8C-458A-926F-FE04BE5DF46B}" uniqueName="4" name="Column1" queryTableFieldId="4" dataDxfId="3"/>
    <tableColumn id="5" xr3:uid="{2506F4F7-D486-407B-8CF8-DFCAFD97A93F}" uniqueName="5" name="Column2" queryTableFieldId="5"/>
    <tableColumn id="6" xr3:uid="{722CEE07-9FBA-40BB-B1D8-B7F428A79CF5}" uniqueName="6" name="Column3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584362-2D0C-4242-BA22-A72C6E8F3CDF}" name="In_person_Stress_And_Productivity__3" displayName="In_person_Stress_And_Productivity__3" ref="E1:G103" tableType="queryTable" totalsRowShown="0">
  <autoFilter ref="E1:G103" xr:uid="{B2584362-2D0C-4242-BA22-A72C6E8F3CDF}"/>
  <tableColumns count="3">
    <tableColumn id="4" xr3:uid="{2B988429-5836-4C82-9A29-F8AE93234EC5}" uniqueName="4" name="Column1" queryTableFieldId="4" dataDxfId="2"/>
    <tableColumn id="5" xr3:uid="{86693F7A-869C-488B-A8B9-A28C314283F0}" uniqueName="5" name="Column2" queryTableFieldId="5"/>
    <tableColumn id="6" xr3:uid="{6551D8E2-0D3A-4426-8C93-42660E224D65}" uniqueName="6" name="Column3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003BDD-BC56-4A46-B0A8-F4E70E700299}" name="Hybrid_Stress_And_Productivity__4" displayName="Hybrid_Stress_And_Productivity__4" ref="I1:K142" tableType="queryTable" totalsRowShown="0">
  <autoFilter ref="I1:K142" xr:uid="{95003BDD-BC56-4A46-B0A8-F4E70E700299}"/>
  <tableColumns count="3">
    <tableColumn id="4" xr3:uid="{6BD9BAC4-7AE3-4E14-AC8C-C00F407655D5}" uniqueName="4" name="Column1" queryTableFieldId="4" dataDxfId="1"/>
    <tableColumn id="5" xr3:uid="{BB7F02FE-E279-49A7-AADB-B726F4308457}" uniqueName="5" name="Column2" queryTableFieldId="5"/>
    <tableColumn id="6" xr3:uid="{B7210369-B865-4705-9547-5999335B5DCD}" uniqueName="6" name="Column3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78BB9F-5F55-4263-A855-FB39FDD5BAF8}" name="Table1_1" displayName="Table1_1" ref="A1:E391" tableType="queryTable" totalsRowShown="0">
  <autoFilter ref="A1:E391" xr:uid="{B978BB9F-5F55-4263-A855-FB39FDD5BAF8}"/>
  <tableColumns count="5">
    <tableColumn id="1" xr3:uid="{4A53B1A4-75DE-4124-AE5C-37672351D09F}" uniqueName="1" name="Column1" queryTableFieldId="1" dataDxfId="0"/>
    <tableColumn id="2" xr3:uid="{A38B8997-2B46-46E7-8BF9-D77789D5BF08}" uniqueName="2" name="screen_time_hours" queryTableFieldId="2"/>
    <tableColumn id="3" xr3:uid="{1F85CC4C-AE32-4A8C-8B66-40AD1C6F68F3}" uniqueName="3" name="work_screen_hours" queryTableFieldId="3"/>
    <tableColumn id="4" xr3:uid="{8E784236-D1D3-4FA5-BFF0-DF35D8BD26C6}" uniqueName="4" name="leisure_screen_hours" queryTableFieldId="4"/>
    <tableColumn id="5" xr3:uid="{E4E74F71-3FDA-48A5-95F9-9164C9584273}" uniqueName="5" name="productivity_0_100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8F961F-617B-45BC-85E4-60F888B1E272}" name="Table3" displayName="Table3" ref="A1:D391" totalsRowShown="0">
  <autoFilter ref="A1:D391" xr:uid="{008F961F-617B-45BC-85E4-60F888B1E272}"/>
  <tableColumns count="4">
    <tableColumn id="1" xr3:uid="{C1C9F3E0-A72C-4025-9DE5-EF6C9A5B9919}" name="work_screen_hours"/>
    <tableColumn id="2" xr3:uid="{FF845B1A-5D1D-4C75-8866-925773336357}" name="leisure_screen_hours"/>
    <tableColumn id="3" xr3:uid="{41876C41-04C5-44DF-8FC3-312737929458}" name="productivity_0_100"/>
    <tableColumn id="4" xr3:uid="{448E7F67-0A36-47B4-9CF8-30E6F2C81075}" name="screen_time_hou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1B661E-966C-435F-85A8-36F99A471AF7}" name="Table7" displayName="Table7" ref="A1:E401" totalsRowShown="0">
  <autoFilter ref="A1:E401" xr:uid="{F51B661E-966C-435F-85A8-36F99A471AF7}">
    <filterColumn colId="3">
      <filters>
        <filter val="20.6"/>
        <filter val="23.2"/>
        <filter val="24.6"/>
        <filter val="26"/>
        <filter val="27.1"/>
        <filter val="28.1"/>
        <filter val="28.4"/>
        <filter val="30.2"/>
        <filter val="30.5"/>
        <filter val="30.9"/>
        <filter val="31.4"/>
        <filter val="32.6"/>
        <filter val="32.7"/>
        <filter val="32.8"/>
        <filter val="33"/>
        <filter val="33.1"/>
        <filter val="33.2"/>
        <filter val="33.5"/>
        <filter val="34.1"/>
        <filter val="34.4"/>
        <filter val="34.8"/>
        <filter val="35.5"/>
        <filter val="35.9"/>
        <filter val="36"/>
        <filter val="36.1"/>
        <filter val="36.4"/>
        <filter val="36.5"/>
        <filter val="36.8"/>
        <filter val="36.9"/>
        <filter val="37.6"/>
        <filter val="37.7"/>
        <filter val="37.9"/>
        <filter val="38"/>
        <filter val="38.1"/>
        <filter val="38.4"/>
        <filter val="38.5"/>
        <filter val="38.6"/>
        <filter val="38.8"/>
        <filter val="39.1"/>
        <filter val="39.3"/>
        <filter val="39.6"/>
        <filter val="39.7"/>
        <filter val="39.8"/>
        <filter val="40.3"/>
        <filter val="40.5"/>
        <filter val="40.6"/>
        <filter val="40.8"/>
        <filter val="40.9"/>
        <filter val="41"/>
        <filter val="41.1"/>
        <filter val="41.2"/>
        <filter val="41.4"/>
        <filter val="41.5"/>
        <filter val="41.9"/>
        <filter val="42.2"/>
        <filter val="42.3"/>
        <filter val="42.4"/>
        <filter val="42.6"/>
        <filter val="43"/>
        <filter val="43.2"/>
        <filter val="43.4"/>
        <filter val="43.5"/>
        <filter val="43.6"/>
        <filter val="43.7"/>
        <filter val="43.8"/>
        <filter val="43.9"/>
        <filter val="44"/>
        <filter val="44.1"/>
        <filter val="44.2"/>
        <filter val="44.6"/>
        <filter val="44.7"/>
        <filter val="44.8"/>
        <filter val="44.9"/>
        <filter val="45"/>
        <filter val="45.4"/>
        <filter val="45.5"/>
        <filter val="45.7"/>
        <filter val="45.8"/>
        <filter val="46"/>
        <filter val="46.3"/>
        <filter val="46.4"/>
        <filter val="46.5"/>
        <filter val="46.8"/>
        <filter val="47"/>
        <filter val="47.1"/>
        <filter val="47.2"/>
        <filter val="47.3"/>
        <filter val="47.4"/>
        <filter val="47.5"/>
        <filter val="47.6"/>
        <filter val="47.8"/>
        <filter val="47.9"/>
        <filter val="48.1"/>
        <filter val="48.3"/>
        <filter val="48.4"/>
        <filter val="48.5"/>
        <filter val="48.6"/>
        <filter val="48.8"/>
        <filter val="49"/>
        <filter val="49.2"/>
        <filter val="49.3"/>
        <filter val="49.5"/>
        <filter val="49.6"/>
        <filter val="49.8"/>
        <filter val="49.9"/>
        <filter val="50.1"/>
        <filter val="50.3"/>
        <filter val="50.4"/>
        <filter val="50.5"/>
        <filter val="51"/>
        <filter val="51.1"/>
        <filter val="51.2"/>
        <filter val="51.3"/>
        <filter val="51.4"/>
        <filter val="51.6"/>
        <filter val="51.7"/>
        <filter val="51.8"/>
        <filter val="51.9"/>
        <filter val="52"/>
        <filter val="52.1"/>
        <filter val="52.2"/>
        <filter val="52.5"/>
        <filter val="52.6"/>
        <filter val="52.8"/>
        <filter val="53.1"/>
        <filter val="53.2"/>
        <filter val="53.3"/>
        <filter val="53.5"/>
        <filter val="53.6"/>
        <filter val="53.8"/>
        <filter val="53.9"/>
        <filter val="54"/>
        <filter val="54.3"/>
        <filter val="54.4"/>
        <filter val="54.5"/>
        <filter val="54.6"/>
        <filter val="54.7"/>
        <filter val="54.9"/>
        <filter val="55.1"/>
        <filter val="55.3"/>
        <filter val="55.5"/>
        <filter val="55.6"/>
        <filter val="55.9"/>
        <filter val="56"/>
        <filter val="56.1"/>
        <filter val="56.2"/>
        <filter val="56.3"/>
        <filter val="56.5"/>
        <filter val="56.6"/>
        <filter val="56.7"/>
        <filter val="57"/>
        <filter val="57.1"/>
        <filter val="57.3"/>
        <filter val="57.4"/>
        <filter val="57.5"/>
        <filter val="58.2"/>
        <filter val="58.3"/>
        <filter val="58.5"/>
        <filter val="58.6"/>
        <filter val="58.8"/>
        <filter val="59.1"/>
        <filter val="59.5"/>
        <filter val="59.6"/>
        <filter val="59.9"/>
        <filter val="60"/>
        <filter val="60.2"/>
        <filter val="60.3"/>
        <filter val="60.4"/>
        <filter val="60.5"/>
        <filter val="60.6"/>
        <filter val="60.7"/>
        <filter val="60.8"/>
        <filter val="60.9"/>
        <filter val="61.1"/>
        <filter val="61.3"/>
        <filter val="61.4"/>
        <filter val="62.2"/>
        <filter val="62.4"/>
        <filter val="62.5"/>
        <filter val="62.7"/>
        <filter val="63"/>
        <filter val="63.3"/>
        <filter val="63.6"/>
        <filter val="63.7"/>
        <filter val="64"/>
        <filter val="64.1"/>
        <filter val="64.2"/>
        <filter val="64.4"/>
        <filter val="64.6"/>
        <filter val="64.8"/>
        <filter val="65.1"/>
        <filter val="65.4"/>
        <filter val="65.6"/>
        <filter val="65.7"/>
        <filter val="66.2"/>
        <filter val="66.7"/>
        <filter val="66.8"/>
        <filter val="66.9"/>
        <filter val="67.1"/>
        <filter val="67.3"/>
        <filter val="67.4"/>
        <filter val="67.5"/>
        <filter val="67.7"/>
        <filter val="67.8"/>
        <filter val="68.1"/>
        <filter val="68.3"/>
        <filter val="68.5"/>
        <filter val="68.7"/>
        <filter val="68.8"/>
        <filter val="69.1"/>
        <filter val="69.6"/>
        <filter val="70.1"/>
        <filter val="70.3"/>
        <filter val="70.7"/>
        <filter val="70.8"/>
        <filter val="72.5"/>
        <filter val="72.7"/>
        <filter val="72.9"/>
        <filter val="73"/>
        <filter val="73.2"/>
        <filter val="73.6"/>
        <filter val="74"/>
        <filter val="74.5"/>
        <filter val="75.1"/>
        <filter val="75.6"/>
        <filter val="75.7"/>
        <filter val="76.4"/>
        <filter val="76.5"/>
        <filter val="76.9"/>
        <filter val="77.3"/>
        <filter val="77.7"/>
        <filter val="77.9"/>
        <filter val="78"/>
        <filter val="79"/>
        <filter val="79.1"/>
        <filter val="79.6"/>
        <filter val="80.2"/>
        <filter val="80.4"/>
        <filter val="81"/>
        <filter val="82.3"/>
        <filter val="82.7"/>
        <filter val="84.8"/>
        <filter val="85.1"/>
        <filter val="86.3"/>
        <filter val="86.8"/>
        <filter val="87"/>
        <filter val="88"/>
        <filter val="88.1"/>
        <filter val="88.4"/>
        <filter val="88.8"/>
        <filter val="88.9"/>
        <filter val="91.7"/>
      </filters>
    </filterColumn>
    <filterColumn colId="4">
      <filters>
        <filter val="100"/>
        <filter val="101"/>
        <filter val="102"/>
        <filter val="103"/>
        <filter val="104"/>
        <filter val="105"/>
        <filter val="106"/>
        <filter val="107"/>
        <filter val="109"/>
        <filter val="110"/>
        <filter val="111"/>
        <filter val="112"/>
        <filter val="113"/>
        <filter val="114"/>
        <filter val="116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7"/>
        <filter val="138"/>
        <filter val="139"/>
        <filter val="140"/>
        <filter val="141"/>
        <filter val="143"/>
        <filter val="144"/>
        <filter val="145"/>
        <filter val="146"/>
        <filter val="147"/>
        <filter val="148"/>
        <filter val="149"/>
        <filter val="15"/>
        <filter val="151"/>
        <filter val="152"/>
        <filter val="153"/>
        <filter val="155"/>
        <filter val="156"/>
        <filter val="157"/>
        <filter val="159"/>
        <filter val="160"/>
        <filter val="161"/>
        <filter val="162"/>
        <filter val="163"/>
        <filter val="164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5"/>
        <filter val="186"/>
        <filter val="187"/>
        <filter val="188"/>
        <filter val="189"/>
        <filter val="19"/>
        <filter val="190"/>
        <filter val="193"/>
        <filter val="194"/>
        <filter val="195"/>
        <filter val="197"/>
        <filter val="198"/>
        <filter val="2"/>
        <filter val="200"/>
        <filter val="207"/>
        <filter val="208"/>
        <filter val="21"/>
        <filter val="210"/>
        <filter val="211"/>
        <filter val="212"/>
        <filter val="214"/>
        <filter val="216"/>
        <filter val="218"/>
        <filter val="219"/>
        <filter val="222"/>
        <filter val="223"/>
        <filter val="224"/>
        <filter val="225"/>
        <filter val="226"/>
        <filter val="227"/>
        <filter val="229"/>
        <filter val="23"/>
        <filter val="230"/>
        <filter val="233"/>
        <filter val="237"/>
        <filter val="241"/>
        <filter val="249"/>
        <filter val="25"/>
        <filter val="252"/>
        <filter val="253"/>
        <filter val="254"/>
        <filter val="255"/>
        <filter val="259"/>
        <filter val="26"/>
        <filter val="269"/>
        <filter val="27"/>
        <filter val="271"/>
        <filter val="276"/>
        <filter val="284"/>
        <filter val="286"/>
        <filter val="291"/>
        <filter val="295"/>
        <filter val="30"/>
        <filter val="31"/>
        <filter val="32"/>
        <filter val="33"/>
        <filter val="34"/>
        <filter val="35"/>
        <filter val="37"/>
        <filter val="372"/>
        <filter val="39"/>
        <filter val="4"/>
        <filter val="40"/>
        <filter val="41"/>
        <filter val="42"/>
        <filter val="43"/>
        <filter val="45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7"/>
        <filter val="78"/>
        <filter val="8"/>
        <filter val="81"/>
        <filter val="82"/>
        <filter val="83"/>
        <filter val="84"/>
        <filter val="85"/>
        <filter val="86"/>
        <filter val="87"/>
        <filter val="88"/>
        <filter val="9"/>
        <filter val="90"/>
        <filter val="91"/>
        <filter val="92"/>
        <filter val="94"/>
        <filter val="95"/>
        <filter val="96"/>
        <filter val="97"/>
        <filter val="98"/>
        <filter val="99"/>
      </filters>
    </filterColumn>
  </autoFilter>
  <tableColumns count="5">
    <tableColumn id="1" xr3:uid="{AE147FF8-D5A3-44EA-9056-CE2823EF5BE6}" name="Column1"/>
    <tableColumn id="2" xr3:uid="{BB9255BD-1F29-41C5-A1A2-080C588DE824}" name="age"/>
    <tableColumn id="3" xr3:uid="{4495B320-31A8-4180-A781-64E4D5A7E566}" name="gender"/>
    <tableColumn id="4" xr3:uid="{BEA14C09-FC35-471F-8651-8E6349397963}" name="productivity_0_100"/>
    <tableColumn id="5" xr3:uid="{B3258C4A-04AE-4ECB-AAD4-BB354C72B3A2}" name="exercise_minutes_per_week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83F88B-03FD-457F-9245-C2840D8180A0}" name="Table8" displayName="Table8" ref="A1:E1048576" totalsRowShown="0">
  <autoFilter ref="A1:E1048576" xr:uid="{2E83F88B-03FD-457F-9245-C2840D8180A0}">
    <filterColumn colId="3">
      <filters>
        <filter val="20.6"/>
        <filter val="23.2"/>
        <filter val="24.6"/>
        <filter val="26"/>
        <filter val="27.1"/>
        <filter val="28.1"/>
        <filter val="30.2"/>
        <filter val="30.9"/>
        <filter val="31.4"/>
        <filter val="31.8"/>
        <filter val="32.6"/>
        <filter val="32.7"/>
        <filter val="32.8"/>
        <filter val="33"/>
        <filter val="33.1"/>
        <filter val="33.2"/>
        <filter val="33.5"/>
        <filter val="34.1"/>
        <filter val="34.4"/>
        <filter val="34.8"/>
        <filter val="35.5"/>
        <filter val="35.9"/>
        <filter val="36.1"/>
        <filter val="36.4"/>
        <filter val="36.5"/>
        <filter val="36.8"/>
        <filter val="36.9"/>
        <filter val="37"/>
        <filter val="37.3"/>
        <filter val="37.6"/>
        <filter val="37.7"/>
        <filter val="37.9"/>
        <filter val="38"/>
        <filter val="38.1"/>
        <filter val="38.4"/>
        <filter val="38.5"/>
        <filter val="38.6"/>
        <filter val="38.8"/>
        <filter val="39.1"/>
        <filter val="39.3"/>
        <filter val="39.4"/>
        <filter val="39.6"/>
        <filter val="39.7"/>
        <filter val="39.8"/>
        <filter val="40.3"/>
        <filter val="40.4"/>
        <filter val="40.5"/>
        <filter val="40.6"/>
        <filter val="40.8"/>
        <filter val="40.9"/>
        <filter val="41"/>
        <filter val="41.1"/>
        <filter val="41.2"/>
        <filter val="41.4"/>
        <filter val="41.5"/>
        <filter val="41.9"/>
        <filter val="42.1"/>
        <filter val="42.2"/>
        <filter val="42.4"/>
        <filter val="42.6"/>
        <filter val="43"/>
        <filter val="43.2"/>
        <filter val="43.4"/>
        <filter val="43.5"/>
        <filter val="43.6"/>
        <filter val="43.7"/>
        <filter val="43.8"/>
        <filter val="43.9"/>
        <filter val="44"/>
        <filter val="44.1"/>
        <filter val="44.2"/>
        <filter val="44.6"/>
        <filter val="44.7"/>
        <filter val="44.8"/>
        <filter val="44.9"/>
        <filter val="45"/>
        <filter val="45.1"/>
        <filter val="45.4"/>
        <filter val="45.5"/>
        <filter val="45.7"/>
        <filter val="45.8"/>
        <filter val="46"/>
        <filter val="46.3"/>
        <filter val="46.5"/>
        <filter val="46.6"/>
        <filter val="46.8"/>
        <filter val="47"/>
        <filter val="47.1"/>
        <filter val="47.2"/>
        <filter val="47.3"/>
        <filter val="47.4"/>
        <filter val="47.5"/>
        <filter val="47.6"/>
        <filter val="47.9"/>
        <filter val="48.1"/>
        <filter val="48.3"/>
        <filter val="48.4"/>
        <filter val="48.5"/>
        <filter val="48.6"/>
        <filter val="48.8"/>
        <filter val="49"/>
        <filter val="49.2"/>
        <filter val="49.3"/>
        <filter val="49.5"/>
        <filter val="49.6"/>
        <filter val="49.7"/>
        <filter val="49.8"/>
        <filter val="49.9"/>
        <filter val="50.1"/>
        <filter val="50.2"/>
        <filter val="50.3"/>
        <filter val="50.4"/>
        <filter val="50.5"/>
        <filter val="51"/>
        <filter val="51.1"/>
        <filter val="51.2"/>
        <filter val="51.3"/>
        <filter val="51.4"/>
        <filter val="51.6"/>
        <filter val="51.7"/>
        <filter val="51.8"/>
        <filter val="51.9"/>
        <filter val="52"/>
        <filter val="52.1"/>
        <filter val="52.2"/>
        <filter val="52.5"/>
        <filter val="52.6"/>
        <filter val="52.8"/>
        <filter val="53.1"/>
        <filter val="53.2"/>
        <filter val="53.3"/>
        <filter val="53.6"/>
        <filter val="53.8"/>
        <filter val="53.9"/>
        <filter val="54"/>
        <filter val="54.3"/>
        <filter val="54.4"/>
        <filter val="54.5"/>
        <filter val="54.6"/>
        <filter val="54.7"/>
        <filter val="54.9"/>
        <filter val="55.3"/>
        <filter val="55.5"/>
        <filter val="55.6"/>
        <filter val="55.9"/>
        <filter val="56"/>
        <filter val="56.2"/>
        <filter val="56.5"/>
        <filter val="56.6"/>
        <filter val="56.7"/>
        <filter val="56.8"/>
        <filter val="57"/>
        <filter val="57.1"/>
        <filter val="57.3"/>
        <filter val="57.4"/>
        <filter val="57.5"/>
        <filter val="57.9"/>
        <filter val="58.2"/>
        <filter val="58.3"/>
        <filter val="58.5"/>
        <filter val="58.6"/>
        <filter val="58.8"/>
        <filter val="59"/>
        <filter val="59.5"/>
        <filter val="59.6"/>
        <filter val="59.9"/>
        <filter val="60"/>
        <filter val="60.3"/>
        <filter val="60.4"/>
        <filter val="60.5"/>
        <filter val="60.6"/>
        <filter val="60.7"/>
        <filter val="60.8"/>
        <filter val="60.9"/>
        <filter val="61.2"/>
        <filter val="61.3"/>
        <filter val="61.4"/>
        <filter val="62.2"/>
        <filter val="62.4"/>
        <filter val="62.5"/>
        <filter val="62.7"/>
        <filter val="63"/>
        <filter val="63.6"/>
        <filter val="63.7"/>
        <filter val="64"/>
        <filter val="64.1"/>
        <filter val="64.2"/>
        <filter val="64.4"/>
        <filter val="64.6"/>
        <filter val="64.8"/>
        <filter val="65.1"/>
        <filter val="65.4"/>
        <filter val="65.6"/>
        <filter val="65.7"/>
        <filter val="66.2"/>
        <filter val="66.3"/>
        <filter val="66.7"/>
        <filter val="66.8"/>
        <filter val="66.9"/>
        <filter val="67.1"/>
        <filter val="67.3"/>
        <filter val="67.4"/>
        <filter val="67.5"/>
        <filter val="67.7"/>
        <filter val="67.8"/>
        <filter val="68.3"/>
        <filter val="68.5"/>
        <filter val="68.7"/>
        <filter val="68.8"/>
        <filter val="69.6"/>
        <filter val="70.1"/>
        <filter val="70.3"/>
        <filter val="70.7"/>
        <filter val="70.8"/>
        <filter val="72.5"/>
        <filter val="72.9"/>
        <filter val="73"/>
        <filter val="73.2"/>
        <filter val="73.6"/>
        <filter val="74"/>
        <filter val="74.5"/>
        <filter val="74.8"/>
        <filter val="75.1"/>
        <filter val="75.6"/>
        <filter val="75.7"/>
        <filter val="76.4"/>
        <filter val="76.5"/>
        <filter val="77.3"/>
        <filter val="77.7"/>
        <filter val="77.9"/>
        <filter val="78"/>
        <filter val="79"/>
        <filter val="79.1"/>
        <filter val="79.6"/>
        <filter val="80.2"/>
        <filter val="80.4"/>
        <filter val="81"/>
        <filter val="82.3"/>
        <filter val="82.7"/>
        <filter val="84"/>
        <filter val="84.8"/>
        <filter val="85.1"/>
        <filter val="86.3"/>
        <filter val="86.8"/>
        <filter val="87"/>
        <filter val="88"/>
        <filter val="88.1"/>
        <filter val="88.3"/>
        <filter val="88.4"/>
        <filter val="88.9"/>
        <filter val="91.7"/>
      </filters>
    </filterColumn>
    <filterColumn colId="4">
      <filters blank="1">
        <filter val="0.1"/>
        <filter val="0.2"/>
        <filter val="0.5"/>
        <filter val="0.7"/>
        <filter val="0.8"/>
        <filter val="0.9"/>
        <filter val="1"/>
        <filter val="1.1"/>
        <filter val="1.4"/>
        <filter val="1.5"/>
        <filter val="1.8"/>
        <filter val="1.9"/>
        <filter val="10"/>
        <filter val="10.1"/>
        <filter val="10.2"/>
        <filter val="10.3"/>
        <filter val="10.4"/>
        <filter val="10.5"/>
        <filter val="10.6"/>
        <filter val="10.7"/>
        <filter val="10.8"/>
        <filter val="10.9"/>
        <filter val="11"/>
        <filter val="11.1"/>
        <filter val="11.2"/>
        <filter val="11.3"/>
        <filter val="11.4"/>
        <filter val="11.5"/>
        <filter val="11.6"/>
        <filter val="11.7"/>
        <filter val="11.8"/>
        <filter val="11.9"/>
        <filter val="12"/>
        <filter val="12.1"/>
        <filter val="12.2"/>
        <filter val="12.3"/>
        <filter val="12.4"/>
        <filter val="12.5"/>
        <filter val="12.6"/>
        <filter val="12.7"/>
        <filter val="12.8"/>
        <filter val="13.1"/>
        <filter val="13.2"/>
        <filter val="13.3"/>
        <filter val="13.4"/>
        <filter val="13.5"/>
        <filter val="13.7"/>
        <filter val="13.9"/>
        <filter val="14.1"/>
        <filter val="14.2"/>
        <filter val="14.3"/>
        <filter val="14.5"/>
        <filter val="14.6"/>
        <filter val="14.9"/>
        <filter val="15.1"/>
        <filter val="15.2"/>
        <filter val="15.3"/>
        <filter val="15.4"/>
        <filter val="15.5"/>
        <filter val="15.6"/>
        <filter val="15.7"/>
        <filter val="15.8"/>
        <filter val="15.9"/>
        <filter val="16.1"/>
        <filter val="16.2"/>
        <filter val="16.3"/>
        <filter val="16.4"/>
        <filter val="16.6"/>
        <filter val="17"/>
        <filter val="17.2"/>
        <filter val="17.3"/>
        <filter val="17.5"/>
        <filter val="17.6"/>
        <filter val="17.8"/>
        <filter val="17.9"/>
        <filter val="18.4"/>
        <filter val="18.5"/>
        <filter val="18.7"/>
        <filter val="18.8"/>
        <filter val="19.1"/>
        <filter val="19.4"/>
        <filter val="2"/>
        <filter val="2.1"/>
        <filter val="2.2"/>
        <filter val="2.3"/>
        <filter val="2.4"/>
        <filter val="2.5"/>
        <filter val="2.6"/>
        <filter val="2.7"/>
        <filter val="2.8"/>
        <filter val="20"/>
        <filter val="21.6"/>
        <filter val="23.9"/>
        <filter val="3"/>
        <filter val="3.1"/>
        <filter val="3.2"/>
        <filter val="3.3"/>
        <filter val="3.4"/>
        <filter val="3.5"/>
        <filter val="3.6"/>
        <filter val="3.8"/>
        <filter val="4"/>
        <filter val="4.1"/>
        <filter val="4.2"/>
        <filter val="4.3"/>
        <filter val="4.4"/>
        <filter val="4.5"/>
        <filter val="4.6"/>
        <filter val="4.7"/>
        <filter val="4.8"/>
        <filter val="5"/>
        <filter val="5.1"/>
        <filter val="5.2"/>
        <filter val="5.3"/>
        <filter val="5.4"/>
        <filter val="5.5"/>
        <filter val="5.6"/>
        <filter val="5.7"/>
        <filter val="5.8"/>
        <filter val="5.9"/>
        <filter val="6"/>
        <filter val="6.1"/>
        <filter val="6.2"/>
        <filter val="6.3"/>
        <filter val="6.4"/>
        <filter val="6.5"/>
        <filter val="6.6"/>
        <filter val="6.7"/>
        <filter val="6.9"/>
        <filter val="7"/>
        <filter val="7.1"/>
        <filter val="7.2"/>
        <filter val="7.3"/>
        <filter val="7.4"/>
        <filter val="7.5"/>
        <filter val="7.6"/>
        <filter val="7.7"/>
        <filter val="7.8"/>
        <filter val="7.9"/>
        <filter val="8"/>
        <filter val="8.1"/>
        <filter val="8.2"/>
        <filter val="8.3"/>
        <filter val="8.4"/>
        <filter val="8.5"/>
        <filter val="8.6"/>
        <filter val="8.7"/>
        <filter val="8.9"/>
        <filter val="9"/>
        <filter val="9.1"/>
        <filter val="9.2"/>
        <filter val="9.3"/>
        <filter val="9.4"/>
        <filter val="9.5"/>
        <filter val="9.6"/>
        <filter val="9.7"/>
        <filter val="9.8"/>
        <filter val="9.9"/>
      </filters>
    </filterColumn>
  </autoFilter>
  <tableColumns count="5">
    <tableColumn id="1" xr3:uid="{B4EBCC70-12E0-4640-AA4D-1846A898EAD2}" name="Column1"/>
    <tableColumn id="2" xr3:uid="{72B2F657-86CE-4164-94BF-23B56880E336}" name="age"/>
    <tableColumn id="3" xr3:uid="{2AD1DE6F-74F6-48DC-B69A-29AE5CD6BB15}" name="gender"/>
    <tableColumn id="4" xr3:uid="{8E4E80B5-0EF9-4BF7-B008-D40FBA26EAE9}" name="productivity_0_100"/>
    <tableColumn id="5" xr3:uid="{E5FCB99D-51C0-4327-BE3D-299E2158AE4C}" name="social_hours_per_we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9E8C-2B49-40BD-8E34-5ACDFCA852C0}">
  <dimension ref="A1:O401"/>
  <sheetViews>
    <sheetView topLeftCell="A274" zoomScale="40" zoomScaleNormal="40" workbookViewId="0">
      <selection activeCell="AB324" sqref="AB324"/>
    </sheetView>
  </sheetViews>
  <sheetFormatPr defaultRowHeight="14" x14ac:dyDescent="0.3"/>
  <cols>
    <col min="1" max="1" width="9.83203125" bestFit="1" customWidth="1"/>
    <col min="2" max="2" width="6.25" bestFit="1" customWidth="1"/>
    <col min="3" max="3" width="15" bestFit="1" customWidth="1"/>
    <col min="4" max="4" width="13.25" bestFit="1" customWidth="1"/>
    <col min="5" max="5" width="14.1640625" bestFit="1" customWidth="1"/>
    <col min="6" max="6" width="21" bestFit="1" customWidth="1"/>
    <col min="7" max="7" width="21.25" bestFit="1" customWidth="1"/>
    <col min="8" max="8" width="23.1640625" bestFit="1" customWidth="1"/>
    <col min="9" max="9" width="14.25" bestFit="1" customWidth="1"/>
    <col min="10" max="10" width="20.25" bestFit="1" customWidth="1"/>
    <col min="11" max="11" width="20" bestFit="1" customWidth="1"/>
    <col min="12" max="12" width="21.25" bestFit="1" customWidth="1"/>
    <col min="13" max="13" width="29.83203125" bestFit="1" customWidth="1"/>
    <col min="14" max="14" width="25.25" bestFit="1" customWidth="1"/>
    <col min="15" max="15" width="32.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33</v>
      </c>
      <c r="C2" t="s">
        <v>16</v>
      </c>
      <c r="D2" t="s">
        <v>17</v>
      </c>
      <c r="E2" t="s">
        <v>18</v>
      </c>
      <c r="F2">
        <v>10.79</v>
      </c>
      <c r="G2">
        <v>5.44</v>
      </c>
      <c r="H2">
        <v>5.35</v>
      </c>
      <c r="I2">
        <v>6.63</v>
      </c>
      <c r="J2">
        <v>1</v>
      </c>
      <c r="K2">
        <v>9.3000000000000007</v>
      </c>
      <c r="L2">
        <v>44.7</v>
      </c>
      <c r="M2">
        <v>127</v>
      </c>
      <c r="N2">
        <v>0.7</v>
      </c>
      <c r="O2">
        <v>9.3000000000000007</v>
      </c>
    </row>
    <row r="3" spans="1:15" x14ac:dyDescent="0.3">
      <c r="A3" t="s">
        <v>19</v>
      </c>
      <c r="B3">
        <v>28</v>
      </c>
      <c r="C3" t="s">
        <v>16</v>
      </c>
      <c r="D3" t="s">
        <v>17</v>
      </c>
      <c r="E3" t="s">
        <v>20</v>
      </c>
      <c r="F3">
        <v>7.4</v>
      </c>
      <c r="G3">
        <v>0.37</v>
      </c>
      <c r="H3">
        <v>7.03</v>
      </c>
      <c r="I3">
        <v>8.0500000000000007</v>
      </c>
      <c r="J3">
        <v>3</v>
      </c>
      <c r="K3">
        <v>5.7</v>
      </c>
      <c r="L3">
        <v>78</v>
      </c>
      <c r="M3">
        <v>74</v>
      </c>
      <c r="N3">
        <v>2.1</v>
      </c>
      <c r="O3">
        <v>56.2</v>
      </c>
    </row>
    <row r="4" spans="1:15" x14ac:dyDescent="0.3">
      <c r="A4" t="s">
        <v>21</v>
      </c>
      <c r="B4">
        <v>35</v>
      </c>
      <c r="C4" t="s">
        <v>16</v>
      </c>
      <c r="D4" t="s">
        <v>17</v>
      </c>
      <c r="E4" t="s">
        <v>22</v>
      </c>
      <c r="F4">
        <v>9.7799999999999994</v>
      </c>
      <c r="G4">
        <v>1.0900000000000001</v>
      </c>
      <c r="H4">
        <v>8.69</v>
      </c>
      <c r="I4">
        <v>6.48</v>
      </c>
      <c r="J4">
        <v>1</v>
      </c>
      <c r="K4">
        <v>9.1</v>
      </c>
      <c r="L4">
        <v>51.8</v>
      </c>
      <c r="M4">
        <v>67</v>
      </c>
      <c r="N4">
        <v>8</v>
      </c>
      <c r="O4">
        <v>3.6</v>
      </c>
    </row>
    <row r="5" spans="1:15" x14ac:dyDescent="0.3">
      <c r="A5" t="s">
        <v>23</v>
      </c>
      <c r="B5">
        <v>42</v>
      </c>
      <c r="C5" t="s">
        <v>24</v>
      </c>
      <c r="D5" t="s">
        <v>17</v>
      </c>
      <c r="E5" t="s">
        <v>22</v>
      </c>
      <c r="F5">
        <v>11.13</v>
      </c>
      <c r="G5">
        <v>0.56000000000000005</v>
      </c>
      <c r="H5">
        <v>10.57</v>
      </c>
      <c r="I5">
        <v>6.89</v>
      </c>
      <c r="J5">
        <v>1</v>
      </c>
      <c r="K5">
        <v>10</v>
      </c>
      <c r="L5">
        <v>37</v>
      </c>
      <c r="M5">
        <v>0</v>
      </c>
      <c r="N5">
        <v>5.7</v>
      </c>
      <c r="O5">
        <v>0</v>
      </c>
    </row>
    <row r="6" spans="1:15" x14ac:dyDescent="0.3">
      <c r="A6" t="s">
        <v>25</v>
      </c>
      <c r="B6">
        <v>28</v>
      </c>
      <c r="C6" t="s">
        <v>24</v>
      </c>
      <c r="D6" t="s">
        <v>26</v>
      </c>
      <c r="E6" t="s">
        <v>18</v>
      </c>
      <c r="F6">
        <v>13.22</v>
      </c>
      <c r="G6">
        <v>4.09</v>
      </c>
      <c r="H6">
        <v>9.1300000000000008</v>
      </c>
      <c r="I6">
        <v>5.79</v>
      </c>
      <c r="J6">
        <v>1</v>
      </c>
      <c r="K6">
        <v>10</v>
      </c>
      <c r="L6">
        <v>38.5</v>
      </c>
      <c r="M6">
        <v>143</v>
      </c>
      <c r="N6">
        <v>10.1</v>
      </c>
      <c r="O6">
        <v>0</v>
      </c>
    </row>
    <row r="7" spans="1:15" x14ac:dyDescent="0.3">
      <c r="A7" t="s">
        <v>27</v>
      </c>
      <c r="B7">
        <v>28</v>
      </c>
      <c r="C7" t="s">
        <v>28</v>
      </c>
      <c r="D7" t="s">
        <v>29</v>
      </c>
      <c r="E7" t="s">
        <v>22</v>
      </c>
      <c r="F7">
        <v>9.83</v>
      </c>
      <c r="G7">
        <v>0.53</v>
      </c>
      <c r="H7">
        <v>9.3000000000000007</v>
      </c>
      <c r="I7">
        <v>7.19</v>
      </c>
      <c r="J7">
        <v>1</v>
      </c>
      <c r="K7">
        <v>10</v>
      </c>
      <c r="L7">
        <v>44</v>
      </c>
      <c r="M7">
        <v>71</v>
      </c>
      <c r="N7">
        <v>10.3</v>
      </c>
      <c r="O7">
        <v>5</v>
      </c>
    </row>
    <row r="8" spans="1:15" x14ac:dyDescent="0.3">
      <c r="A8" t="s">
        <v>30</v>
      </c>
      <c r="B8">
        <v>42</v>
      </c>
      <c r="C8" t="s">
        <v>28</v>
      </c>
      <c r="D8" t="s">
        <v>31</v>
      </c>
      <c r="E8" t="s">
        <v>18</v>
      </c>
      <c r="F8">
        <v>6.02</v>
      </c>
      <c r="G8">
        <v>2.82</v>
      </c>
      <c r="H8">
        <v>3.2</v>
      </c>
      <c r="I8">
        <v>7.44</v>
      </c>
      <c r="J8">
        <v>2</v>
      </c>
      <c r="K8">
        <v>6.1</v>
      </c>
      <c r="L8">
        <v>64.8</v>
      </c>
      <c r="M8">
        <v>141</v>
      </c>
      <c r="N8">
        <v>4.7</v>
      </c>
      <c r="O8">
        <v>43.7</v>
      </c>
    </row>
    <row r="9" spans="1:15" x14ac:dyDescent="0.3">
      <c r="A9" t="s">
        <v>32</v>
      </c>
      <c r="B9">
        <v>36</v>
      </c>
      <c r="C9" t="s">
        <v>24</v>
      </c>
      <c r="D9" t="s">
        <v>17</v>
      </c>
      <c r="E9" t="s">
        <v>20</v>
      </c>
      <c r="F9">
        <v>6.21</v>
      </c>
      <c r="G9">
        <v>0.75</v>
      </c>
      <c r="H9">
        <v>5.46</v>
      </c>
      <c r="I9">
        <v>6.78</v>
      </c>
      <c r="J9">
        <v>2</v>
      </c>
      <c r="K9">
        <v>5.4</v>
      </c>
      <c r="L9">
        <v>87</v>
      </c>
      <c r="M9">
        <v>51</v>
      </c>
      <c r="N9">
        <v>18.7</v>
      </c>
      <c r="O9">
        <v>54.3</v>
      </c>
    </row>
    <row r="10" spans="1:15" x14ac:dyDescent="0.3">
      <c r="A10" t="s">
        <v>33</v>
      </c>
      <c r="B10">
        <v>26</v>
      </c>
      <c r="C10" t="s">
        <v>24</v>
      </c>
      <c r="D10" t="s">
        <v>26</v>
      </c>
      <c r="E10" t="s">
        <v>20</v>
      </c>
      <c r="F10">
        <v>6.28</v>
      </c>
      <c r="G10">
        <v>0.67</v>
      </c>
      <c r="H10">
        <v>5.61</v>
      </c>
      <c r="I10">
        <v>8.48</v>
      </c>
      <c r="J10">
        <v>4</v>
      </c>
      <c r="K10">
        <v>1.6</v>
      </c>
      <c r="L10">
        <v>91.7</v>
      </c>
      <c r="M10">
        <v>149</v>
      </c>
      <c r="N10">
        <v>10.1</v>
      </c>
      <c r="O10">
        <v>86.8</v>
      </c>
    </row>
    <row r="11" spans="1:15" x14ac:dyDescent="0.3">
      <c r="A11" t="s">
        <v>34</v>
      </c>
      <c r="B11">
        <v>34</v>
      </c>
      <c r="C11" t="s">
        <v>24</v>
      </c>
      <c r="D11" t="s">
        <v>17</v>
      </c>
      <c r="E11" t="s">
        <v>22</v>
      </c>
      <c r="F11">
        <v>9.3699999999999992</v>
      </c>
      <c r="G11">
        <v>0.84</v>
      </c>
      <c r="H11">
        <v>8.5299999999999994</v>
      </c>
      <c r="I11">
        <v>7.78</v>
      </c>
      <c r="J11">
        <v>2</v>
      </c>
      <c r="K11">
        <v>10</v>
      </c>
      <c r="L11">
        <v>42.2</v>
      </c>
      <c r="M11">
        <v>50</v>
      </c>
      <c r="N11">
        <v>12.7</v>
      </c>
      <c r="O11">
        <v>10.7</v>
      </c>
    </row>
    <row r="12" spans="1:15" x14ac:dyDescent="0.3">
      <c r="A12" t="s">
        <v>35</v>
      </c>
      <c r="B12">
        <v>26</v>
      </c>
      <c r="C12" t="s">
        <v>24</v>
      </c>
      <c r="D12" t="s">
        <v>26</v>
      </c>
      <c r="E12" t="s">
        <v>18</v>
      </c>
      <c r="F12">
        <v>9.8699999999999992</v>
      </c>
      <c r="G12">
        <v>3.02</v>
      </c>
      <c r="H12">
        <v>6.85</v>
      </c>
      <c r="I12">
        <v>6.4</v>
      </c>
      <c r="J12">
        <v>1</v>
      </c>
      <c r="K12">
        <v>8.8000000000000007</v>
      </c>
      <c r="L12">
        <v>55.9</v>
      </c>
      <c r="M12">
        <v>87</v>
      </c>
      <c r="N12">
        <v>6.2</v>
      </c>
      <c r="O12">
        <v>21.8</v>
      </c>
    </row>
    <row r="13" spans="1:15" x14ac:dyDescent="0.3">
      <c r="A13" t="s">
        <v>36</v>
      </c>
      <c r="B13">
        <v>26</v>
      </c>
      <c r="C13" t="s">
        <v>16</v>
      </c>
      <c r="D13" t="s">
        <v>37</v>
      </c>
      <c r="E13" t="s">
        <v>22</v>
      </c>
      <c r="F13">
        <v>4.96</v>
      </c>
      <c r="G13">
        <v>0.25</v>
      </c>
      <c r="H13">
        <v>4.71</v>
      </c>
      <c r="I13">
        <v>8.01</v>
      </c>
      <c r="J13">
        <v>3</v>
      </c>
      <c r="K13">
        <v>4.5999999999999996</v>
      </c>
      <c r="L13">
        <v>88.4</v>
      </c>
      <c r="M13">
        <v>188</v>
      </c>
      <c r="N13">
        <v>12.5</v>
      </c>
      <c r="O13">
        <v>74.3</v>
      </c>
    </row>
    <row r="14" spans="1:15" x14ac:dyDescent="0.3">
      <c r="A14" t="s">
        <v>38</v>
      </c>
      <c r="B14">
        <v>31</v>
      </c>
      <c r="C14" t="s">
        <v>16</v>
      </c>
      <c r="D14" t="s">
        <v>26</v>
      </c>
      <c r="E14" t="s">
        <v>18</v>
      </c>
      <c r="F14">
        <v>12.55</v>
      </c>
      <c r="G14">
        <v>6.8</v>
      </c>
      <c r="H14">
        <v>5.75</v>
      </c>
      <c r="I14">
        <v>6.96</v>
      </c>
      <c r="J14">
        <v>1</v>
      </c>
      <c r="K14">
        <v>10</v>
      </c>
      <c r="L14">
        <v>33</v>
      </c>
      <c r="M14">
        <v>139</v>
      </c>
      <c r="N14">
        <v>11.3</v>
      </c>
      <c r="O14">
        <v>0</v>
      </c>
    </row>
    <row r="15" spans="1:15" x14ac:dyDescent="0.3">
      <c r="A15" t="s">
        <v>39</v>
      </c>
      <c r="B15">
        <v>16</v>
      </c>
      <c r="C15" t="s">
        <v>16</v>
      </c>
      <c r="D15" t="s">
        <v>17</v>
      </c>
      <c r="E15" t="s">
        <v>18</v>
      </c>
      <c r="F15">
        <v>7.86</v>
      </c>
      <c r="G15">
        <v>4.33</v>
      </c>
      <c r="H15">
        <v>3.53</v>
      </c>
      <c r="I15">
        <v>7.59</v>
      </c>
      <c r="J15">
        <v>2</v>
      </c>
      <c r="K15">
        <v>6.3</v>
      </c>
      <c r="L15">
        <v>70.7</v>
      </c>
      <c r="M15">
        <v>102</v>
      </c>
      <c r="N15">
        <v>8.6</v>
      </c>
      <c r="O15">
        <v>40.9</v>
      </c>
    </row>
    <row r="16" spans="1:15" x14ac:dyDescent="0.3">
      <c r="A16" t="s">
        <v>40</v>
      </c>
      <c r="B16">
        <v>16</v>
      </c>
      <c r="C16" t="s">
        <v>24</v>
      </c>
      <c r="D16" t="s">
        <v>17</v>
      </c>
      <c r="E16" t="s">
        <v>22</v>
      </c>
      <c r="F16">
        <v>9.07</v>
      </c>
      <c r="G16">
        <v>0.79</v>
      </c>
      <c r="H16">
        <v>8.2799999999999994</v>
      </c>
      <c r="I16">
        <v>5.54</v>
      </c>
      <c r="J16">
        <v>1</v>
      </c>
      <c r="K16">
        <v>10</v>
      </c>
      <c r="L16">
        <v>53.2</v>
      </c>
      <c r="M16">
        <v>0</v>
      </c>
      <c r="N16">
        <v>0</v>
      </c>
      <c r="O16">
        <v>10.7</v>
      </c>
    </row>
    <row r="17" spans="1:15" x14ac:dyDescent="0.3">
      <c r="A17" t="s">
        <v>41</v>
      </c>
      <c r="B17">
        <v>25</v>
      </c>
      <c r="C17" t="s">
        <v>24</v>
      </c>
      <c r="D17" t="s">
        <v>17</v>
      </c>
      <c r="E17" t="s">
        <v>22</v>
      </c>
      <c r="F17">
        <v>13.49</v>
      </c>
      <c r="G17">
        <v>2.82</v>
      </c>
      <c r="H17">
        <v>10.67</v>
      </c>
      <c r="I17">
        <v>7.13</v>
      </c>
      <c r="J17">
        <v>1</v>
      </c>
      <c r="K17">
        <v>10</v>
      </c>
      <c r="L17">
        <v>37.6</v>
      </c>
      <c r="M17">
        <v>284</v>
      </c>
      <c r="N17">
        <v>2.8</v>
      </c>
      <c r="O17">
        <v>0</v>
      </c>
    </row>
    <row r="18" spans="1:15" x14ac:dyDescent="0.3">
      <c r="A18" t="s">
        <v>42</v>
      </c>
      <c r="B18">
        <v>21</v>
      </c>
      <c r="C18" t="s">
        <v>16</v>
      </c>
      <c r="D18" t="s">
        <v>17</v>
      </c>
      <c r="E18" t="s">
        <v>20</v>
      </c>
      <c r="F18">
        <v>8.86</v>
      </c>
      <c r="G18">
        <v>0.82</v>
      </c>
      <c r="H18">
        <v>8.0399999999999991</v>
      </c>
      <c r="I18">
        <v>6.53</v>
      </c>
      <c r="J18">
        <v>1</v>
      </c>
      <c r="K18">
        <v>10</v>
      </c>
      <c r="L18">
        <v>60.3</v>
      </c>
      <c r="M18">
        <v>223</v>
      </c>
      <c r="N18">
        <v>13.1</v>
      </c>
      <c r="O18">
        <v>10.5</v>
      </c>
    </row>
    <row r="19" spans="1:15" x14ac:dyDescent="0.3">
      <c r="A19" t="s">
        <v>43</v>
      </c>
      <c r="B19">
        <v>32</v>
      </c>
      <c r="C19" t="s">
        <v>24</v>
      </c>
      <c r="D19" t="s">
        <v>29</v>
      </c>
      <c r="E19" t="s">
        <v>22</v>
      </c>
      <c r="F19">
        <v>7.13</v>
      </c>
      <c r="G19">
        <v>0.82</v>
      </c>
      <c r="H19">
        <v>6.31</v>
      </c>
      <c r="I19">
        <v>7.06</v>
      </c>
      <c r="J19">
        <v>1</v>
      </c>
      <c r="K19">
        <v>7</v>
      </c>
      <c r="L19">
        <v>49</v>
      </c>
      <c r="M19">
        <v>167</v>
      </c>
      <c r="N19">
        <v>11.6</v>
      </c>
      <c r="O19">
        <v>29.5</v>
      </c>
    </row>
    <row r="20" spans="1:15" x14ac:dyDescent="0.3">
      <c r="A20" t="s">
        <v>44</v>
      </c>
      <c r="B20">
        <v>22</v>
      </c>
      <c r="C20" t="s">
        <v>24</v>
      </c>
      <c r="D20" t="s">
        <v>26</v>
      </c>
      <c r="E20" t="s">
        <v>22</v>
      </c>
      <c r="F20">
        <v>8.18</v>
      </c>
      <c r="G20">
        <v>0.7</v>
      </c>
      <c r="H20">
        <v>7.48</v>
      </c>
      <c r="I20">
        <v>9.1999999999999993</v>
      </c>
      <c r="J20">
        <v>3</v>
      </c>
      <c r="K20">
        <v>4.2</v>
      </c>
      <c r="L20">
        <v>85.1</v>
      </c>
      <c r="M20">
        <v>52</v>
      </c>
      <c r="N20">
        <v>11.2</v>
      </c>
      <c r="O20">
        <v>68.900000000000006</v>
      </c>
    </row>
    <row r="21" spans="1:15" x14ac:dyDescent="0.3">
      <c r="A21" t="s">
        <v>45</v>
      </c>
      <c r="B21">
        <v>18</v>
      </c>
      <c r="C21" t="s">
        <v>16</v>
      </c>
      <c r="D21" t="s">
        <v>26</v>
      </c>
      <c r="E21" t="s">
        <v>18</v>
      </c>
      <c r="F21">
        <v>10.26</v>
      </c>
      <c r="G21">
        <v>5.73</v>
      </c>
      <c r="H21">
        <v>4.53</v>
      </c>
      <c r="I21">
        <v>6.98</v>
      </c>
      <c r="J21">
        <v>1</v>
      </c>
      <c r="K21">
        <v>9.4</v>
      </c>
      <c r="L21">
        <v>52</v>
      </c>
      <c r="M21">
        <v>82</v>
      </c>
      <c r="N21">
        <v>1.5</v>
      </c>
      <c r="O21">
        <v>10.8</v>
      </c>
    </row>
    <row r="22" spans="1:15" x14ac:dyDescent="0.3">
      <c r="A22" t="s">
        <v>46</v>
      </c>
      <c r="B22">
        <v>41</v>
      </c>
      <c r="C22" t="s">
        <v>16</v>
      </c>
      <c r="D22" t="s">
        <v>26</v>
      </c>
      <c r="E22" t="s">
        <v>18</v>
      </c>
      <c r="F22">
        <v>10.14</v>
      </c>
      <c r="G22">
        <v>3.29</v>
      </c>
      <c r="H22">
        <v>6.85</v>
      </c>
      <c r="I22">
        <v>6.68</v>
      </c>
      <c r="J22">
        <v>1</v>
      </c>
      <c r="K22">
        <v>10</v>
      </c>
      <c r="L22">
        <v>48.1</v>
      </c>
      <c r="M22">
        <v>65</v>
      </c>
      <c r="N22">
        <v>2.8</v>
      </c>
      <c r="O22">
        <v>0</v>
      </c>
    </row>
    <row r="23" spans="1:15" x14ac:dyDescent="0.3">
      <c r="A23" t="s">
        <v>47</v>
      </c>
      <c r="B23">
        <v>28</v>
      </c>
      <c r="C23" t="s">
        <v>24</v>
      </c>
      <c r="D23" t="s">
        <v>37</v>
      </c>
      <c r="E23" t="s">
        <v>18</v>
      </c>
      <c r="F23">
        <v>7.52</v>
      </c>
      <c r="G23">
        <v>2.89</v>
      </c>
      <c r="H23">
        <v>4.63</v>
      </c>
      <c r="I23">
        <v>5.49</v>
      </c>
      <c r="J23">
        <v>1</v>
      </c>
      <c r="K23">
        <v>8.1</v>
      </c>
      <c r="L23">
        <v>53.1</v>
      </c>
      <c r="M23">
        <v>200</v>
      </c>
      <c r="N23">
        <v>13.2</v>
      </c>
      <c r="O23">
        <v>18.2</v>
      </c>
    </row>
    <row r="24" spans="1:15" x14ac:dyDescent="0.3">
      <c r="A24" t="s">
        <v>48</v>
      </c>
      <c r="B24">
        <v>30</v>
      </c>
      <c r="C24" t="s">
        <v>24</v>
      </c>
      <c r="D24" t="s">
        <v>29</v>
      </c>
      <c r="E24" t="s">
        <v>20</v>
      </c>
      <c r="F24">
        <v>7.67</v>
      </c>
      <c r="G24">
        <v>1.65</v>
      </c>
      <c r="H24">
        <v>6.02</v>
      </c>
      <c r="I24">
        <v>8.36</v>
      </c>
      <c r="J24">
        <v>3</v>
      </c>
      <c r="K24">
        <v>5.0999999999999996</v>
      </c>
      <c r="L24">
        <v>76.400000000000006</v>
      </c>
      <c r="M24">
        <v>130</v>
      </c>
      <c r="N24">
        <v>8.9</v>
      </c>
      <c r="O24">
        <v>53.5</v>
      </c>
    </row>
    <row r="25" spans="1:15" x14ac:dyDescent="0.3">
      <c r="A25" t="s">
        <v>49</v>
      </c>
      <c r="B25">
        <v>18</v>
      </c>
      <c r="C25" t="s">
        <v>24</v>
      </c>
      <c r="D25" t="s">
        <v>17</v>
      </c>
      <c r="E25" t="s">
        <v>18</v>
      </c>
      <c r="F25">
        <v>5.74</v>
      </c>
      <c r="G25">
        <v>2.33</v>
      </c>
      <c r="H25">
        <v>3.41</v>
      </c>
      <c r="I25">
        <v>6.34</v>
      </c>
      <c r="J25">
        <v>1</v>
      </c>
      <c r="K25">
        <v>3.7</v>
      </c>
      <c r="L25">
        <v>77.3</v>
      </c>
      <c r="M25">
        <v>63</v>
      </c>
      <c r="N25">
        <v>17.600000000000001</v>
      </c>
      <c r="O25">
        <v>48.7</v>
      </c>
    </row>
    <row r="26" spans="1:15" x14ac:dyDescent="0.3">
      <c r="A26" t="s">
        <v>50</v>
      </c>
      <c r="B26">
        <v>25</v>
      </c>
      <c r="C26" t="s">
        <v>24</v>
      </c>
      <c r="D26" t="s">
        <v>17</v>
      </c>
      <c r="E26" t="s">
        <v>20</v>
      </c>
      <c r="F26">
        <v>8.93</v>
      </c>
      <c r="G26">
        <v>0.45</v>
      </c>
      <c r="H26">
        <v>8.48</v>
      </c>
      <c r="I26">
        <v>6.21</v>
      </c>
      <c r="J26">
        <v>1</v>
      </c>
      <c r="K26">
        <v>9.8000000000000007</v>
      </c>
      <c r="L26">
        <v>50.3</v>
      </c>
      <c r="M26">
        <v>69</v>
      </c>
      <c r="N26">
        <v>8.5</v>
      </c>
      <c r="O26">
        <v>0.7</v>
      </c>
    </row>
    <row r="27" spans="1:15" x14ac:dyDescent="0.3">
      <c r="A27" t="s">
        <v>51</v>
      </c>
      <c r="B27">
        <v>30</v>
      </c>
      <c r="C27" t="s">
        <v>24</v>
      </c>
      <c r="D27" t="s">
        <v>17</v>
      </c>
      <c r="E27" t="s">
        <v>22</v>
      </c>
      <c r="F27">
        <v>7.05</v>
      </c>
      <c r="G27">
        <v>0.8</v>
      </c>
      <c r="H27">
        <v>6.25</v>
      </c>
      <c r="I27">
        <v>7.08</v>
      </c>
      <c r="J27">
        <v>1</v>
      </c>
      <c r="K27">
        <v>10</v>
      </c>
      <c r="L27">
        <v>51</v>
      </c>
      <c r="M27">
        <v>194</v>
      </c>
      <c r="N27">
        <v>8.6</v>
      </c>
      <c r="O27">
        <v>1.8</v>
      </c>
    </row>
    <row r="28" spans="1:15" x14ac:dyDescent="0.3">
      <c r="A28" t="s">
        <v>52</v>
      </c>
      <c r="B28">
        <v>20</v>
      </c>
      <c r="C28" t="s">
        <v>24</v>
      </c>
      <c r="D28" t="s">
        <v>26</v>
      </c>
      <c r="E28" t="s">
        <v>18</v>
      </c>
      <c r="F28">
        <v>11.3</v>
      </c>
      <c r="G28">
        <v>5.17</v>
      </c>
      <c r="H28">
        <v>6.13</v>
      </c>
      <c r="I28">
        <v>7.74</v>
      </c>
      <c r="J28">
        <v>2</v>
      </c>
      <c r="K28">
        <v>10</v>
      </c>
      <c r="L28">
        <v>53.3</v>
      </c>
      <c r="M28">
        <v>197</v>
      </c>
      <c r="N28">
        <v>7.4</v>
      </c>
      <c r="O28">
        <v>4.5999999999999996</v>
      </c>
    </row>
    <row r="29" spans="1:15" x14ac:dyDescent="0.3">
      <c r="A29" t="s">
        <v>53</v>
      </c>
      <c r="B29">
        <v>33</v>
      </c>
      <c r="C29" t="s">
        <v>24</v>
      </c>
      <c r="D29" t="s">
        <v>37</v>
      </c>
      <c r="E29" t="s">
        <v>20</v>
      </c>
      <c r="F29">
        <v>6.61</v>
      </c>
      <c r="G29">
        <v>0.33</v>
      </c>
      <c r="H29">
        <v>6.28</v>
      </c>
      <c r="I29">
        <v>8.06</v>
      </c>
      <c r="J29">
        <v>2</v>
      </c>
      <c r="K29">
        <v>7</v>
      </c>
      <c r="L29">
        <v>60</v>
      </c>
      <c r="M29">
        <v>227</v>
      </c>
      <c r="N29">
        <v>3.5</v>
      </c>
      <c r="O29">
        <v>42.8</v>
      </c>
    </row>
    <row r="30" spans="1:15" x14ac:dyDescent="0.3">
      <c r="A30" t="s">
        <v>54</v>
      </c>
      <c r="B30">
        <v>25</v>
      </c>
      <c r="C30" t="s">
        <v>24</v>
      </c>
      <c r="D30" t="s">
        <v>17</v>
      </c>
      <c r="E30" t="s">
        <v>22</v>
      </c>
      <c r="F30">
        <v>7.43</v>
      </c>
      <c r="G30">
        <v>0.73</v>
      </c>
      <c r="H30">
        <v>6.7</v>
      </c>
      <c r="I30">
        <v>7.11</v>
      </c>
      <c r="J30">
        <v>2</v>
      </c>
      <c r="K30">
        <v>7.6</v>
      </c>
      <c r="L30">
        <v>61.1</v>
      </c>
      <c r="M30">
        <v>164</v>
      </c>
      <c r="N30">
        <v>0</v>
      </c>
      <c r="O30">
        <v>28.9</v>
      </c>
    </row>
    <row r="31" spans="1:15" x14ac:dyDescent="0.3">
      <c r="A31" t="s">
        <v>55</v>
      </c>
      <c r="B31">
        <v>27</v>
      </c>
      <c r="C31" t="s">
        <v>16</v>
      </c>
      <c r="D31" t="s">
        <v>17</v>
      </c>
      <c r="E31" t="s">
        <v>20</v>
      </c>
      <c r="F31">
        <v>9.57</v>
      </c>
      <c r="G31">
        <v>0.48</v>
      </c>
      <c r="H31">
        <v>9.09</v>
      </c>
      <c r="I31">
        <v>7.18</v>
      </c>
      <c r="J31">
        <v>1</v>
      </c>
      <c r="K31">
        <v>10</v>
      </c>
      <c r="L31">
        <v>38</v>
      </c>
      <c r="M31">
        <v>81</v>
      </c>
      <c r="N31">
        <v>9.1</v>
      </c>
      <c r="O31">
        <v>0.9</v>
      </c>
    </row>
    <row r="32" spans="1:15" x14ac:dyDescent="0.3">
      <c r="A32" t="s">
        <v>56</v>
      </c>
      <c r="B32">
        <v>25</v>
      </c>
      <c r="C32" t="s">
        <v>16</v>
      </c>
      <c r="D32" t="s">
        <v>17</v>
      </c>
      <c r="E32" t="s">
        <v>20</v>
      </c>
      <c r="F32">
        <v>6.37</v>
      </c>
      <c r="G32">
        <v>0.78</v>
      </c>
      <c r="H32">
        <v>5.59</v>
      </c>
      <c r="I32">
        <v>6.91</v>
      </c>
      <c r="J32">
        <v>1</v>
      </c>
      <c r="K32">
        <v>8.5</v>
      </c>
      <c r="L32">
        <v>52.1</v>
      </c>
      <c r="M32">
        <v>0</v>
      </c>
      <c r="N32">
        <v>8.9</v>
      </c>
      <c r="O32">
        <v>11.1</v>
      </c>
    </row>
    <row r="33" spans="1:15" x14ac:dyDescent="0.3">
      <c r="A33" t="s">
        <v>57</v>
      </c>
      <c r="B33">
        <v>44</v>
      </c>
      <c r="C33" t="s">
        <v>16</v>
      </c>
      <c r="D33" t="s">
        <v>26</v>
      </c>
      <c r="E33" t="s">
        <v>18</v>
      </c>
      <c r="F33">
        <v>14.35</v>
      </c>
      <c r="G33">
        <v>7.54</v>
      </c>
      <c r="H33">
        <v>6.81</v>
      </c>
      <c r="I33">
        <v>6.5</v>
      </c>
      <c r="J33">
        <v>1</v>
      </c>
      <c r="K33">
        <v>10</v>
      </c>
      <c r="L33">
        <v>42.6</v>
      </c>
      <c r="M33">
        <v>100</v>
      </c>
      <c r="N33">
        <v>5.0999999999999996</v>
      </c>
      <c r="O33">
        <v>0</v>
      </c>
    </row>
    <row r="34" spans="1:15" x14ac:dyDescent="0.3">
      <c r="A34" t="s">
        <v>58</v>
      </c>
      <c r="B34">
        <v>29</v>
      </c>
      <c r="C34" t="s">
        <v>24</v>
      </c>
      <c r="D34" t="s">
        <v>26</v>
      </c>
      <c r="E34" t="s">
        <v>18</v>
      </c>
      <c r="F34">
        <v>6.89</v>
      </c>
      <c r="G34">
        <v>1.25</v>
      </c>
      <c r="H34">
        <v>5.64</v>
      </c>
      <c r="I34">
        <v>7.42</v>
      </c>
      <c r="J34">
        <v>1</v>
      </c>
      <c r="K34">
        <v>7</v>
      </c>
      <c r="L34">
        <v>60.3</v>
      </c>
      <c r="M34">
        <v>116</v>
      </c>
      <c r="N34">
        <v>0.2</v>
      </c>
      <c r="O34">
        <v>17.2</v>
      </c>
    </row>
    <row r="35" spans="1:15" x14ac:dyDescent="0.3">
      <c r="A35" t="s">
        <v>59</v>
      </c>
      <c r="B35">
        <v>21</v>
      </c>
      <c r="C35" t="s">
        <v>24</v>
      </c>
      <c r="D35" t="s">
        <v>17</v>
      </c>
      <c r="E35" t="s">
        <v>22</v>
      </c>
      <c r="F35">
        <v>11.38</v>
      </c>
      <c r="G35">
        <v>0.56999999999999995</v>
      </c>
      <c r="H35">
        <v>10.81</v>
      </c>
      <c r="I35">
        <v>7.38</v>
      </c>
      <c r="J35">
        <v>1</v>
      </c>
      <c r="K35">
        <v>9.9</v>
      </c>
      <c r="L35">
        <v>57</v>
      </c>
      <c r="M35">
        <v>95</v>
      </c>
      <c r="N35">
        <v>11.4</v>
      </c>
      <c r="O35">
        <v>2.4</v>
      </c>
    </row>
    <row r="36" spans="1:15" x14ac:dyDescent="0.3">
      <c r="A36" t="s">
        <v>60</v>
      </c>
      <c r="B36">
        <v>36</v>
      </c>
      <c r="C36" t="s">
        <v>24</v>
      </c>
      <c r="D36" t="s">
        <v>26</v>
      </c>
      <c r="E36" t="s">
        <v>20</v>
      </c>
      <c r="F36">
        <v>13.05</v>
      </c>
      <c r="G36">
        <v>0.65</v>
      </c>
      <c r="H36">
        <v>12.4</v>
      </c>
      <c r="I36">
        <v>7.28</v>
      </c>
      <c r="J36">
        <v>1</v>
      </c>
      <c r="K36">
        <v>10</v>
      </c>
      <c r="L36">
        <v>39.6</v>
      </c>
      <c r="M36">
        <v>86</v>
      </c>
      <c r="N36">
        <v>4.2</v>
      </c>
      <c r="O36">
        <v>0</v>
      </c>
    </row>
    <row r="37" spans="1:15" x14ac:dyDescent="0.3">
      <c r="A37" t="s">
        <v>61</v>
      </c>
      <c r="B37">
        <v>20</v>
      </c>
      <c r="C37" t="s">
        <v>16</v>
      </c>
      <c r="D37" t="s">
        <v>17</v>
      </c>
      <c r="E37" t="s">
        <v>18</v>
      </c>
      <c r="F37">
        <v>7.47</v>
      </c>
      <c r="G37">
        <v>3.01</v>
      </c>
      <c r="H37">
        <v>4.46</v>
      </c>
      <c r="I37">
        <v>7.57</v>
      </c>
      <c r="J37">
        <v>1</v>
      </c>
      <c r="K37">
        <v>8.4</v>
      </c>
      <c r="L37">
        <v>53.6</v>
      </c>
      <c r="M37">
        <v>15</v>
      </c>
      <c r="N37">
        <v>14.3</v>
      </c>
      <c r="O37">
        <v>14.8</v>
      </c>
    </row>
    <row r="38" spans="1:15" x14ac:dyDescent="0.3">
      <c r="A38" t="s">
        <v>62</v>
      </c>
      <c r="B38">
        <v>31</v>
      </c>
      <c r="C38" t="s">
        <v>16</v>
      </c>
      <c r="D38" t="s">
        <v>26</v>
      </c>
      <c r="E38" t="s">
        <v>22</v>
      </c>
      <c r="F38">
        <v>9.93</v>
      </c>
      <c r="G38">
        <v>1.89</v>
      </c>
      <c r="H38">
        <v>8.0399999999999991</v>
      </c>
      <c r="I38">
        <v>6.63</v>
      </c>
      <c r="J38">
        <v>1</v>
      </c>
      <c r="K38">
        <v>9.5</v>
      </c>
      <c r="L38">
        <v>45.7</v>
      </c>
      <c r="M38">
        <v>138</v>
      </c>
      <c r="N38">
        <v>15.2</v>
      </c>
      <c r="O38">
        <v>2.2000000000000002</v>
      </c>
    </row>
    <row r="39" spans="1:15" x14ac:dyDescent="0.3">
      <c r="A39" t="s">
        <v>63</v>
      </c>
      <c r="B39">
        <v>16</v>
      </c>
      <c r="C39" t="s">
        <v>16</v>
      </c>
      <c r="D39" t="s">
        <v>17</v>
      </c>
      <c r="E39" t="s">
        <v>22</v>
      </c>
      <c r="F39">
        <v>8.08</v>
      </c>
      <c r="G39">
        <v>1.25</v>
      </c>
      <c r="H39">
        <v>6.83</v>
      </c>
      <c r="I39">
        <v>7.64</v>
      </c>
      <c r="J39">
        <v>3</v>
      </c>
      <c r="K39">
        <v>6.5</v>
      </c>
      <c r="L39">
        <v>68.099999999999994</v>
      </c>
      <c r="M39">
        <v>147</v>
      </c>
      <c r="N39">
        <v>0</v>
      </c>
      <c r="O39">
        <v>57.6</v>
      </c>
    </row>
    <row r="40" spans="1:15" x14ac:dyDescent="0.3">
      <c r="A40" t="s">
        <v>64</v>
      </c>
      <c r="B40">
        <v>19</v>
      </c>
      <c r="C40" t="s">
        <v>16</v>
      </c>
      <c r="D40" t="s">
        <v>17</v>
      </c>
      <c r="E40" t="s">
        <v>20</v>
      </c>
      <c r="F40">
        <v>7.88</v>
      </c>
      <c r="G40">
        <v>0.39</v>
      </c>
      <c r="H40">
        <v>7.49</v>
      </c>
      <c r="I40">
        <v>7.03</v>
      </c>
      <c r="J40">
        <v>1</v>
      </c>
      <c r="K40">
        <v>9</v>
      </c>
      <c r="L40">
        <v>49.8</v>
      </c>
      <c r="M40">
        <v>153</v>
      </c>
      <c r="N40">
        <v>7.6</v>
      </c>
      <c r="O40">
        <v>17.7</v>
      </c>
    </row>
    <row r="41" spans="1:15" x14ac:dyDescent="0.3">
      <c r="A41" t="s">
        <v>65</v>
      </c>
      <c r="B41">
        <v>31</v>
      </c>
      <c r="C41" t="s">
        <v>24</v>
      </c>
      <c r="D41" t="s">
        <v>17</v>
      </c>
      <c r="E41" t="s">
        <v>18</v>
      </c>
      <c r="F41">
        <v>8.81</v>
      </c>
      <c r="G41">
        <v>3.92</v>
      </c>
      <c r="H41">
        <v>4.8899999999999997</v>
      </c>
      <c r="I41">
        <v>6.22</v>
      </c>
      <c r="J41">
        <v>1</v>
      </c>
      <c r="K41">
        <v>10</v>
      </c>
      <c r="L41">
        <v>51.6</v>
      </c>
      <c r="M41">
        <v>172</v>
      </c>
      <c r="N41">
        <v>5.7</v>
      </c>
      <c r="O41">
        <v>12.5</v>
      </c>
    </row>
    <row r="42" spans="1:15" x14ac:dyDescent="0.3">
      <c r="A42" t="s">
        <v>66</v>
      </c>
      <c r="B42">
        <v>35</v>
      </c>
      <c r="C42" t="s">
        <v>16</v>
      </c>
      <c r="D42" t="s">
        <v>17</v>
      </c>
      <c r="E42" t="s">
        <v>20</v>
      </c>
      <c r="F42">
        <v>5.65</v>
      </c>
      <c r="G42">
        <v>0.36</v>
      </c>
      <c r="H42">
        <v>5.29</v>
      </c>
      <c r="I42">
        <v>7.28</v>
      </c>
      <c r="J42">
        <v>2</v>
      </c>
      <c r="K42">
        <v>7.2</v>
      </c>
      <c r="L42">
        <v>67.400000000000006</v>
      </c>
      <c r="M42">
        <v>169</v>
      </c>
      <c r="N42">
        <v>19.399999999999999</v>
      </c>
      <c r="O42">
        <v>35.200000000000003</v>
      </c>
    </row>
    <row r="43" spans="1:15" x14ac:dyDescent="0.3">
      <c r="A43" t="s">
        <v>67</v>
      </c>
      <c r="B43">
        <v>31</v>
      </c>
      <c r="C43" t="s">
        <v>16</v>
      </c>
      <c r="D43" t="s">
        <v>17</v>
      </c>
      <c r="E43" t="s">
        <v>20</v>
      </c>
      <c r="F43">
        <v>9.31</v>
      </c>
      <c r="G43">
        <v>0.65</v>
      </c>
      <c r="H43">
        <v>8.66</v>
      </c>
      <c r="I43">
        <v>7.08</v>
      </c>
      <c r="J43">
        <v>2</v>
      </c>
      <c r="K43">
        <v>8.4</v>
      </c>
      <c r="L43">
        <v>51.7</v>
      </c>
      <c r="M43">
        <v>74</v>
      </c>
      <c r="N43">
        <v>1.1000000000000001</v>
      </c>
      <c r="O43">
        <v>30.4</v>
      </c>
    </row>
    <row r="44" spans="1:15" x14ac:dyDescent="0.3">
      <c r="A44" t="s">
        <v>68</v>
      </c>
      <c r="B44">
        <v>29</v>
      </c>
      <c r="C44" t="s">
        <v>24</v>
      </c>
      <c r="D44" t="s">
        <v>17</v>
      </c>
      <c r="E44" t="s">
        <v>18</v>
      </c>
      <c r="F44">
        <v>7.72</v>
      </c>
      <c r="G44">
        <v>5.52</v>
      </c>
      <c r="H44">
        <v>2.2000000000000002</v>
      </c>
      <c r="I44">
        <v>7.96</v>
      </c>
      <c r="J44">
        <v>3</v>
      </c>
      <c r="K44">
        <v>3.8</v>
      </c>
      <c r="L44">
        <v>77.7</v>
      </c>
      <c r="M44">
        <v>106</v>
      </c>
      <c r="N44">
        <v>17.5</v>
      </c>
      <c r="O44">
        <v>62.2</v>
      </c>
    </row>
    <row r="45" spans="1:15" x14ac:dyDescent="0.3">
      <c r="A45" t="s">
        <v>69</v>
      </c>
      <c r="B45">
        <v>27</v>
      </c>
      <c r="C45" t="s">
        <v>16</v>
      </c>
      <c r="D45" t="s">
        <v>17</v>
      </c>
      <c r="E45" t="s">
        <v>18</v>
      </c>
      <c r="F45">
        <v>11.81</v>
      </c>
      <c r="G45">
        <v>4.6399999999999997</v>
      </c>
      <c r="H45">
        <v>7.17</v>
      </c>
      <c r="I45">
        <v>6.45</v>
      </c>
      <c r="J45">
        <v>1</v>
      </c>
      <c r="K45">
        <v>10</v>
      </c>
      <c r="L45">
        <v>37.6</v>
      </c>
      <c r="M45">
        <v>92</v>
      </c>
      <c r="N45">
        <v>3.5</v>
      </c>
      <c r="O45">
        <v>0</v>
      </c>
    </row>
    <row r="46" spans="1:15" x14ac:dyDescent="0.3">
      <c r="A46" t="s">
        <v>70</v>
      </c>
      <c r="B46">
        <v>18</v>
      </c>
      <c r="C46" t="s">
        <v>16</v>
      </c>
      <c r="D46" t="s">
        <v>17</v>
      </c>
      <c r="E46" t="s">
        <v>20</v>
      </c>
      <c r="F46">
        <v>6.71</v>
      </c>
      <c r="G46">
        <v>0.74</v>
      </c>
      <c r="H46">
        <v>5.97</v>
      </c>
      <c r="I46">
        <v>6.31</v>
      </c>
      <c r="J46">
        <v>1</v>
      </c>
      <c r="K46">
        <v>7.4</v>
      </c>
      <c r="L46">
        <v>58.8</v>
      </c>
      <c r="M46">
        <v>119</v>
      </c>
      <c r="N46">
        <v>8</v>
      </c>
      <c r="O46">
        <v>23.3</v>
      </c>
    </row>
    <row r="47" spans="1:15" x14ac:dyDescent="0.3">
      <c r="A47" t="s">
        <v>71</v>
      </c>
      <c r="B47">
        <v>24</v>
      </c>
      <c r="C47" t="s">
        <v>24</v>
      </c>
      <c r="D47" t="s">
        <v>37</v>
      </c>
      <c r="E47" t="s">
        <v>18</v>
      </c>
      <c r="F47">
        <v>6.1</v>
      </c>
      <c r="G47">
        <v>1.57</v>
      </c>
      <c r="H47">
        <v>4.53</v>
      </c>
      <c r="I47">
        <v>7.47</v>
      </c>
      <c r="J47">
        <v>1</v>
      </c>
      <c r="K47">
        <v>4.0999999999999996</v>
      </c>
      <c r="L47">
        <v>79.599999999999994</v>
      </c>
      <c r="M47">
        <v>188</v>
      </c>
      <c r="N47">
        <v>8</v>
      </c>
      <c r="O47">
        <v>53</v>
      </c>
    </row>
    <row r="48" spans="1:15" x14ac:dyDescent="0.3">
      <c r="A48" t="s">
        <v>72</v>
      </c>
      <c r="B48">
        <v>26</v>
      </c>
      <c r="C48" t="s">
        <v>16</v>
      </c>
      <c r="D48" t="s">
        <v>17</v>
      </c>
      <c r="E48" t="s">
        <v>20</v>
      </c>
      <c r="F48">
        <v>7.46</v>
      </c>
      <c r="G48">
        <v>1.45</v>
      </c>
      <c r="H48">
        <v>6.01</v>
      </c>
      <c r="I48">
        <v>7.33</v>
      </c>
      <c r="J48">
        <v>2</v>
      </c>
      <c r="K48">
        <v>8.9</v>
      </c>
      <c r="L48">
        <v>49.2</v>
      </c>
      <c r="M48">
        <v>156</v>
      </c>
      <c r="N48">
        <v>8.4</v>
      </c>
      <c r="O48">
        <v>23.7</v>
      </c>
    </row>
    <row r="49" spans="1:15" x14ac:dyDescent="0.3">
      <c r="A49" t="s">
        <v>73</v>
      </c>
      <c r="B49">
        <v>38</v>
      </c>
      <c r="C49" t="s">
        <v>24</v>
      </c>
      <c r="D49" t="s">
        <v>26</v>
      </c>
      <c r="E49" t="s">
        <v>18</v>
      </c>
      <c r="F49">
        <v>14.22</v>
      </c>
      <c r="G49">
        <v>7.52</v>
      </c>
      <c r="H49">
        <v>6.7</v>
      </c>
      <c r="I49">
        <v>6.5</v>
      </c>
      <c r="J49">
        <v>1</v>
      </c>
      <c r="K49">
        <v>10</v>
      </c>
      <c r="L49">
        <v>34.799999999999997</v>
      </c>
      <c r="M49">
        <v>222</v>
      </c>
      <c r="N49">
        <v>13.9</v>
      </c>
      <c r="O49">
        <v>0</v>
      </c>
    </row>
    <row r="50" spans="1:15" x14ac:dyDescent="0.3">
      <c r="A50" t="s">
        <v>74</v>
      </c>
      <c r="B50">
        <v>32</v>
      </c>
      <c r="C50" t="s">
        <v>24</v>
      </c>
      <c r="D50" t="s">
        <v>26</v>
      </c>
      <c r="E50" t="s">
        <v>18</v>
      </c>
      <c r="F50">
        <v>9.93</v>
      </c>
      <c r="G50">
        <v>3.77</v>
      </c>
      <c r="H50">
        <v>6.16</v>
      </c>
      <c r="I50">
        <v>7.67</v>
      </c>
      <c r="J50">
        <v>2</v>
      </c>
      <c r="K50">
        <v>9.3000000000000007</v>
      </c>
      <c r="L50">
        <v>52.8</v>
      </c>
      <c r="M50">
        <v>254</v>
      </c>
      <c r="N50">
        <v>0.5</v>
      </c>
      <c r="O50">
        <v>18.5</v>
      </c>
    </row>
    <row r="51" spans="1:15" x14ac:dyDescent="0.3">
      <c r="A51" t="s">
        <v>75</v>
      </c>
      <c r="B51">
        <v>16</v>
      </c>
      <c r="C51" t="s">
        <v>24</v>
      </c>
      <c r="D51" t="s">
        <v>17</v>
      </c>
      <c r="E51" t="s">
        <v>20</v>
      </c>
      <c r="F51">
        <v>13.29</v>
      </c>
      <c r="G51">
        <v>0.99</v>
      </c>
      <c r="H51">
        <v>12.3</v>
      </c>
      <c r="I51">
        <v>7.08</v>
      </c>
      <c r="J51">
        <v>1</v>
      </c>
      <c r="K51">
        <v>10</v>
      </c>
      <c r="L51">
        <v>27.1</v>
      </c>
      <c r="M51">
        <v>77</v>
      </c>
      <c r="N51">
        <v>9.1999999999999993</v>
      </c>
      <c r="O51">
        <v>0</v>
      </c>
    </row>
    <row r="52" spans="1:15" x14ac:dyDescent="0.3">
      <c r="A52" t="s">
        <v>76</v>
      </c>
      <c r="B52">
        <v>32</v>
      </c>
      <c r="C52" t="s">
        <v>16</v>
      </c>
      <c r="D52" t="s">
        <v>17</v>
      </c>
      <c r="E52" t="s">
        <v>22</v>
      </c>
      <c r="F52">
        <v>6.77</v>
      </c>
      <c r="G52">
        <v>0.36</v>
      </c>
      <c r="H52">
        <v>6.41</v>
      </c>
      <c r="I52">
        <v>6.93</v>
      </c>
      <c r="J52">
        <v>1</v>
      </c>
      <c r="K52">
        <v>6.5</v>
      </c>
      <c r="L52">
        <v>56.8</v>
      </c>
      <c r="M52">
        <v>0</v>
      </c>
      <c r="N52">
        <v>8.1</v>
      </c>
      <c r="O52">
        <v>27.3</v>
      </c>
    </row>
    <row r="53" spans="1:15" x14ac:dyDescent="0.3">
      <c r="A53" t="s">
        <v>77</v>
      </c>
      <c r="B53">
        <v>26</v>
      </c>
      <c r="C53" t="s">
        <v>24</v>
      </c>
      <c r="D53" t="s">
        <v>26</v>
      </c>
      <c r="E53" t="s">
        <v>18</v>
      </c>
      <c r="F53">
        <v>10.25</v>
      </c>
      <c r="G53">
        <v>5.59</v>
      </c>
      <c r="H53">
        <v>4.66</v>
      </c>
      <c r="I53">
        <v>6.33</v>
      </c>
      <c r="J53">
        <v>1</v>
      </c>
      <c r="K53">
        <v>10</v>
      </c>
      <c r="L53">
        <v>38.5</v>
      </c>
      <c r="M53">
        <v>181</v>
      </c>
      <c r="N53">
        <v>5.4</v>
      </c>
      <c r="O53">
        <v>0.3</v>
      </c>
    </row>
    <row r="54" spans="1:15" x14ac:dyDescent="0.3">
      <c r="A54" t="s">
        <v>78</v>
      </c>
      <c r="B54">
        <v>24</v>
      </c>
      <c r="C54" t="s">
        <v>16</v>
      </c>
      <c r="D54" t="s">
        <v>17</v>
      </c>
      <c r="E54" t="s">
        <v>22</v>
      </c>
      <c r="F54">
        <v>8.75</v>
      </c>
      <c r="G54">
        <v>1.6</v>
      </c>
      <c r="H54">
        <v>7.15</v>
      </c>
      <c r="I54">
        <v>6.2</v>
      </c>
      <c r="J54">
        <v>1</v>
      </c>
      <c r="K54">
        <v>8.8000000000000007</v>
      </c>
      <c r="L54">
        <v>44.9</v>
      </c>
      <c r="M54">
        <v>65</v>
      </c>
      <c r="N54">
        <v>21.6</v>
      </c>
      <c r="O54">
        <v>0</v>
      </c>
    </row>
    <row r="55" spans="1:15" x14ac:dyDescent="0.3">
      <c r="A55" t="s">
        <v>79</v>
      </c>
      <c r="B55">
        <v>34</v>
      </c>
      <c r="C55" t="s">
        <v>16</v>
      </c>
      <c r="D55" t="s">
        <v>17</v>
      </c>
      <c r="E55" t="s">
        <v>22</v>
      </c>
      <c r="F55">
        <v>10.130000000000001</v>
      </c>
      <c r="G55">
        <v>0.51</v>
      </c>
      <c r="H55">
        <v>9.6199999999999992</v>
      </c>
      <c r="I55">
        <v>7.48</v>
      </c>
      <c r="J55">
        <v>1</v>
      </c>
      <c r="K55">
        <v>9.8000000000000007</v>
      </c>
      <c r="L55">
        <v>44.8</v>
      </c>
      <c r="M55">
        <v>43</v>
      </c>
      <c r="N55">
        <v>5.4</v>
      </c>
      <c r="O55">
        <v>1.5</v>
      </c>
    </row>
    <row r="56" spans="1:15" x14ac:dyDescent="0.3">
      <c r="A56" t="s">
        <v>80</v>
      </c>
      <c r="B56">
        <v>38</v>
      </c>
      <c r="C56" t="s">
        <v>16</v>
      </c>
      <c r="D56" t="s">
        <v>17</v>
      </c>
      <c r="E56" t="s">
        <v>18</v>
      </c>
      <c r="F56">
        <v>9.4700000000000006</v>
      </c>
      <c r="G56">
        <v>2.4</v>
      </c>
      <c r="H56">
        <v>7.07</v>
      </c>
      <c r="I56">
        <v>8.2200000000000006</v>
      </c>
      <c r="J56">
        <v>2</v>
      </c>
      <c r="K56">
        <v>7.2</v>
      </c>
      <c r="L56">
        <v>60</v>
      </c>
      <c r="M56">
        <v>77</v>
      </c>
      <c r="N56">
        <v>10.199999999999999</v>
      </c>
      <c r="O56">
        <v>34.4</v>
      </c>
    </row>
    <row r="57" spans="1:15" x14ac:dyDescent="0.3">
      <c r="A57" t="s">
        <v>81</v>
      </c>
      <c r="B57">
        <v>37</v>
      </c>
      <c r="C57" t="s">
        <v>28</v>
      </c>
      <c r="D57" t="s">
        <v>17</v>
      </c>
      <c r="E57" t="s">
        <v>22</v>
      </c>
      <c r="F57">
        <v>7.57</v>
      </c>
      <c r="G57">
        <v>0.42</v>
      </c>
      <c r="H57">
        <v>7.15</v>
      </c>
      <c r="I57">
        <v>7.08</v>
      </c>
      <c r="J57">
        <v>2</v>
      </c>
      <c r="K57">
        <v>9.4</v>
      </c>
      <c r="L57">
        <v>51.7</v>
      </c>
      <c r="M57">
        <v>85</v>
      </c>
      <c r="N57">
        <v>11.5</v>
      </c>
      <c r="O57">
        <v>27.4</v>
      </c>
    </row>
    <row r="58" spans="1:15" x14ac:dyDescent="0.3">
      <c r="A58" t="s">
        <v>82</v>
      </c>
      <c r="B58">
        <v>23</v>
      </c>
      <c r="C58" t="s">
        <v>16</v>
      </c>
      <c r="D58" t="s">
        <v>26</v>
      </c>
      <c r="E58" t="s">
        <v>20</v>
      </c>
      <c r="F58">
        <v>6.76</v>
      </c>
      <c r="G58">
        <v>0.55000000000000004</v>
      </c>
      <c r="H58">
        <v>6.21</v>
      </c>
      <c r="I58">
        <v>7.12</v>
      </c>
      <c r="J58">
        <v>2</v>
      </c>
      <c r="K58">
        <v>5.6</v>
      </c>
      <c r="L58">
        <v>74</v>
      </c>
      <c r="M58">
        <v>157</v>
      </c>
      <c r="N58">
        <v>1</v>
      </c>
      <c r="O58">
        <v>39.1</v>
      </c>
    </row>
    <row r="59" spans="1:15" x14ac:dyDescent="0.3">
      <c r="A59" t="s">
        <v>83</v>
      </c>
      <c r="B59">
        <v>27</v>
      </c>
      <c r="C59" t="s">
        <v>16</v>
      </c>
      <c r="D59" t="s">
        <v>26</v>
      </c>
      <c r="E59" t="s">
        <v>18</v>
      </c>
      <c r="F59">
        <v>7.82</v>
      </c>
      <c r="G59">
        <v>2.5</v>
      </c>
      <c r="H59">
        <v>5.32</v>
      </c>
      <c r="I59">
        <v>8.3699999999999992</v>
      </c>
      <c r="J59">
        <v>3</v>
      </c>
      <c r="K59">
        <v>6.9</v>
      </c>
      <c r="L59">
        <v>81</v>
      </c>
      <c r="M59">
        <v>0</v>
      </c>
      <c r="N59">
        <v>18.8</v>
      </c>
      <c r="O59">
        <v>44.1</v>
      </c>
    </row>
    <row r="60" spans="1:15" x14ac:dyDescent="0.3">
      <c r="A60" t="s">
        <v>84</v>
      </c>
      <c r="B60">
        <v>32</v>
      </c>
      <c r="C60" t="s">
        <v>24</v>
      </c>
      <c r="D60" t="s">
        <v>17</v>
      </c>
      <c r="E60" t="s">
        <v>22</v>
      </c>
      <c r="F60">
        <v>11.49</v>
      </c>
      <c r="G60">
        <v>1.1000000000000001</v>
      </c>
      <c r="H60">
        <v>10.39</v>
      </c>
      <c r="I60">
        <v>7.1</v>
      </c>
      <c r="J60">
        <v>2</v>
      </c>
      <c r="K60">
        <v>7.2</v>
      </c>
      <c r="L60">
        <v>67.8</v>
      </c>
      <c r="M60">
        <v>15</v>
      </c>
      <c r="N60">
        <v>0</v>
      </c>
      <c r="O60">
        <v>29.9</v>
      </c>
    </row>
    <row r="61" spans="1:15" x14ac:dyDescent="0.3">
      <c r="A61" t="s">
        <v>85</v>
      </c>
      <c r="B61">
        <v>37</v>
      </c>
      <c r="C61" t="s">
        <v>16</v>
      </c>
      <c r="D61" t="s">
        <v>17</v>
      </c>
      <c r="E61" t="s">
        <v>22</v>
      </c>
      <c r="F61">
        <v>8.89</v>
      </c>
      <c r="G61">
        <v>1.91</v>
      </c>
      <c r="H61">
        <v>6.98</v>
      </c>
      <c r="I61">
        <v>7.49</v>
      </c>
      <c r="J61">
        <v>2</v>
      </c>
      <c r="K61">
        <v>9.6999999999999993</v>
      </c>
      <c r="L61">
        <v>40.299999999999997</v>
      </c>
      <c r="M61">
        <v>132</v>
      </c>
      <c r="N61">
        <v>6.1</v>
      </c>
      <c r="O61">
        <v>19.8</v>
      </c>
    </row>
    <row r="62" spans="1:15" x14ac:dyDescent="0.3">
      <c r="A62" t="s">
        <v>86</v>
      </c>
      <c r="B62">
        <v>26</v>
      </c>
      <c r="C62" t="s">
        <v>16</v>
      </c>
      <c r="D62" t="s">
        <v>17</v>
      </c>
      <c r="E62" t="s">
        <v>20</v>
      </c>
      <c r="F62">
        <v>10.09</v>
      </c>
      <c r="G62">
        <v>0.68</v>
      </c>
      <c r="H62">
        <v>9.41</v>
      </c>
      <c r="I62">
        <v>5.89</v>
      </c>
      <c r="J62">
        <v>1</v>
      </c>
      <c r="K62">
        <v>10</v>
      </c>
      <c r="L62">
        <v>46.3</v>
      </c>
      <c r="M62">
        <v>139</v>
      </c>
      <c r="N62">
        <v>5.6</v>
      </c>
      <c r="O62">
        <v>4.5</v>
      </c>
    </row>
    <row r="63" spans="1:15" x14ac:dyDescent="0.3">
      <c r="A63" t="s">
        <v>87</v>
      </c>
      <c r="B63">
        <v>28</v>
      </c>
      <c r="C63" t="s">
        <v>16</v>
      </c>
      <c r="D63" t="s">
        <v>17</v>
      </c>
      <c r="E63" t="s">
        <v>18</v>
      </c>
      <c r="F63">
        <v>9.02</v>
      </c>
      <c r="G63">
        <v>2.67</v>
      </c>
      <c r="H63">
        <v>6.35</v>
      </c>
      <c r="I63">
        <v>7.57</v>
      </c>
      <c r="J63">
        <v>1</v>
      </c>
      <c r="K63">
        <v>9.4</v>
      </c>
      <c r="L63">
        <v>45.8</v>
      </c>
      <c r="M63">
        <v>148</v>
      </c>
      <c r="N63">
        <v>7.9</v>
      </c>
      <c r="O63">
        <v>2.2999999999999998</v>
      </c>
    </row>
    <row r="64" spans="1:15" x14ac:dyDescent="0.3">
      <c r="A64" t="s">
        <v>88</v>
      </c>
      <c r="B64">
        <v>21</v>
      </c>
      <c r="C64" t="s">
        <v>16</v>
      </c>
      <c r="D64" t="s">
        <v>26</v>
      </c>
      <c r="E64" t="s">
        <v>20</v>
      </c>
      <c r="F64">
        <v>11.16</v>
      </c>
      <c r="G64">
        <v>1.46</v>
      </c>
      <c r="H64">
        <v>9.6999999999999993</v>
      </c>
      <c r="I64">
        <v>5.89</v>
      </c>
      <c r="J64">
        <v>1</v>
      </c>
      <c r="K64">
        <v>10</v>
      </c>
      <c r="L64">
        <v>42.2</v>
      </c>
      <c r="M64">
        <v>31</v>
      </c>
      <c r="N64">
        <v>2.8</v>
      </c>
      <c r="O64">
        <v>3.8</v>
      </c>
    </row>
    <row r="65" spans="1:15" x14ac:dyDescent="0.3">
      <c r="A65" t="s">
        <v>89</v>
      </c>
      <c r="B65">
        <v>20</v>
      </c>
      <c r="C65" t="s">
        <v>16</v>
      </c>
      <c r="D65" t="s">
        <v>29</v>
      </c>
      <c r="E65" t="s">
        <v>22</v>
      </c>
      <c r="F65">
        <v>7.3</v>
      </c>
      <c r="G65">
        <v>1.65</v>
      </c>
      <c r="H65">
        <v>5.65</v>
      </c>
      <c r="I65">
        <v>6.3</v>
      </c>
      <c r="J65">
        <v>1</v>
      </c>
      <c r="K65">
        <v>8.4</v>
      </c>
      <c r="L65">
        <v>51.1</v>
      </c>
      <c r="M65">
        <v>41</v>
      </c>
      <c r="N65">
        <v>7.7</v>
      </c>
      <c r="O65">
        <v>9.8000000000000007</v>
      </c>
    </row>
    <row r="66" spans="1:15" x14ac:dyDescent="0.3">
      <c r="A66" t="s">
        <v>90</v>
      </c>
      <c r="B66">
        <v>36</v>
      </c>
      <c r="C66" t="s">
        <v>16</v>
      </c>
      <c r="D66" t="s">
        <v>17</v>
      </c>
      <c r="E66" t="s">
        <v>18</v>
      </c>
      <c r="F66">
        <v>6.95</v>
      </c>
      <c r="G66">
        <v>3.9</v>
      </c>
      <c r="H66">
        <v>3.05</v>
      </c>
      <c r="I66">
        <v>7.14</v>
      </c>
      <c r="J66">
        <v>1</v>
      </c>
      <c r="K66">
        <v>10</v>
      </c>
      <c r="L66">
        <v>48.3</v>
      </c>
      <c r="M66">
        <v>84</v>
      </c>
      <c r="N66">
        <v>7.9</v>
      </c>
      <c r="O66">
        <v>0</v>
      </c>
    </row>
    <row r="67" spans="1:15" x14ac:dyDescent="0.3">
      <c r="A67" t="s">
        <v>91</v>
      </c>
      <c r="B67">
        <v>40</v>
      </c>
      <c r="C67" t="s">
        <v>24</v>
      </c>
      <c r="D67" t="s">
        <v>17</v>
      </c>
      <c r="E67" t="s">
        <v>18</v>
      </c>
      <c r="F67">
        <v>5.5</v>
      </c>
      <c r="G67">
        <v>2.5</v>
      </c>
      <c r="H67">
        <v>3</v>
      </c>
      <c r="I67">
        <v>7.21</v>
      </c>
      <c r="J67">
        <v>2</v>
      </c>
      <c r="K67">
        <v>2.6</v>
      </c>
      <c r="L67">
        <v>86.3</v>
      </c>
      <c r="M67">
        <v>147</v>
      </c>
      <c r="N67">
        <v>2.2000000000000002</v>
      </c>
      <c r="O67">
        <v>60.6</v>
      </c>
    </row>
    <row r="68" spans="1:15" x14ac:dyDescent="0.3">
      <c r="A68" t="s">
        <v>92</v>
      </c>
      <c r="B68">
        <v>29</v>
      </c>
      <c r="C68" t="s">
        <v>16</v>
      </c>
      <c r="D68" t="s">
        <v>17</v>
      </c>
      <c r="E68" t="s">
        <v>18</v>
      </c>
      <c r="F68">
        <v>11.02</v>
      </c>
      <c r="G68">
        <v>1.59</v>
      </c>
      <c r="H68">
        <v>9.43</v>
      </c>
      <c r="I68">
        <v>6.56</v>
      </c>
      <c r="J68">
        <v>1</v>
      </c>
      <c r="K68">
        <v>10</v>
      </c>
      <c r="L68">
        <v>38</v>
      </c>
      <c r="M68">
        <v>195</v>
      </c>
      <c r="N68">
        <v>0</v>
      </c>
      <c r="O68">
        <v>13.2</v>
      </c>
    </row>
    <row r="69" spans="1:15" x14ac:dyDescent="0.3">
      <c r="A69" t="s">
        <v>93</v>
      </c>
      <c r="B69">
        <v>38</v>
      </c>
      <c r="C69" t="s">
        <v>16</v>
      </c>
      <c r="D69" t="s">
        <v>17</v>
      </c>
      <c r="E69" t="s">
        <v>22</v>
      </c>
      <c r="F69">
        <v>8.4700000000000006</v>
      </c>
      <c r="G69">
        <v>0.94</v>
      </c>
      <c r="H69">
        <v>7.53</v>
      </c>
      <c r="I69">
        <v>6.06</v>
      </c>
      <c r="J69">
        <v>1</v>
      </c>
      <c r="K69">
        <v>7.4</v>
      </c>
      <c r="L69">
        <v>50.3</v>
      </c>
      <c r="M69">
        <v>0</v>
      </c>
      <c r="N69">
        <v>10</v>
      </c>
      <c r="O69">
        <v>18.2</v>
      </c>
    </row>
    <row r="70" spans="1:15" x14ac:dyDescent="0.3">
      <c r="A70" t="s">
        <v>94</v>
      </c>
      <c r="B70">
        <v>32</v>
      </c>
      <c r="C70" t="s">
        <v>24</v>
      </c>
      <c r="D70" t="s">
        <v>17</v>
      </c>
      <c r="E70" t="s">
        <v>22</v>
      </c>
      <c r="F70">
        <v>6.92</v>
      </c>
      <c r="G70">
        <v>1.07</v>
      </c>
      <c r="H70">
        <v>5.85</v>
      </c>
      <c r="I70">
        <v>8.15</v>
      </c>
      <c r="J70">
        <v>3</v>
      </c>
      <c r="K70">
        <v>5.0999999999999996</v>
      </c>
      <c r="L70">
        <v>76.5</v>
      </c>
      <c r="M70">
        <v>102</v>
      </c>
      <c r="N70">
        <v>11.5</v>
      </c>
      <c r="O70">
        <v>57</v>
      </c>
    </row>
    <row r="71" spans="1:15" x14ac:dyDescent="0.3">
      <c r="A71" t="s">
        <v>95</v>
      </c>
      <c r="B71">
        <v>24</v>
      </c>
      <c r="C71" t="s">
        <v>16</v>
      </c>
      <c r="D71" t="s">
        <v>26</v>
      </c>
      <c r="E71" t="s">
        <v>20</v>
      </c>
      <c r="F71">
        <v>8.23</v>
      </c>
      <c r="G71">
        <v>0.45</v>
      </c>
      <c r="H71">
        <v>7.78</v>
      </c>
      <c r="I71">
        <v>8.01</v>
      </c>
      <c r="J71">
        <v>2</v>
      </c>
      <c r="K71">
        <v>7</v>
      </c>
      <c r="L71">
        <v>65.099999999999994</v>
      </c>
      <c r="M71">
        <v>12</v>
      </c>
      <c r="N71">
        <v>17.2</v>
      </c>
      <c r="O71">
        <v>30.6</v>
      </c>
    </row>
    <row r="72" spans="1:15" x14ac:dyDescent="0.3">
      <c r="A72" t="s">
        <v>96</v>
      </c>
      <c r="B72">
        <v>32</v>
      </c>
      <c r="C72" t="s">
        <v>24</v>
      </c>
      <c r="D72" t="s">
        <v>37</v>
      </c>
      <c r="E72" t="s">
        <v>22</v>
      </c>
      <c r="F72">
        <v>7.88</v>
      </c>
      <c r="G72">
        <v>0.39</v>
      </c>
      <c r="H72">
        <v>7.49</v>
      </c>
      <c r="I72">
        <v>5.68</v>
      </c>
      <c r="J72">
        <v>1</v>
      </c>
      <c r="K72">
        <v>7.7</v>
      </c>
      <c r="L72">
        <v>59</v>
      </c>
      <c r="M72">
        <v>0</v>
      </c>
      <c r="N72">
        <v>4.5</v>
      </c>
      <c r="O72">
        <v>19.600000000000001</v>
      </c>
    </row>
    <row r="73" spans="1:15" x14ac:dyDescent="0.3">
      <c r="A73" t="s">
        <v>97</v>
      </c>
      <c r="B73">
        <v>42</v>
      </c>
      <c r="C73" t="s">
        <v>16</v>
      </c>
      <c r="D73" t="s">
        <v>26</v>
      </c>
      <c r="E73" t="s">
        <v>18</v>
      </c>
      <c r="F73">
        <v>13.44</v>
      </c>
      <c r="G73">
        <v>6.68</v>
      </c>
      <c r="H73">
        <v>6.76</v>
      </c>
      <c r="I73">
        <v>7.29</v>
      </c>
      <c r="J73">
        <v>1</v>
      </c>
      <c r="K73">
        <v>10</v>
      </c>
      <c r="L73">
        <v>43</v>
      </c>
      <c r="M73">
        <v>151</v>
      </c>
      <c r="N73">
        <v>12.5</v>
      </c>
      <c r="O73">
        <v>5.4</v>
      </c>
    </row>
    <row r="74" spans="1:15" x14ac:dyDescent="0.3">
      <c r="A74" t="s">
        <v>98</v>
      </c>
      <c r="B74">
        <v>29</v>
      </c>
      <c r="C74" t="s">
        <v>16</v>
      </c>
      <c r="D74" t="s">
        <v>37</v>
      </c>
      <c r="E74" t="s">
        <v>22</v>
      </c>
      <c r="F74">
        <v>5.41</v>
      </c>
      <c r="G74">
        <v>0.44</v>
      </c>
      <c r="H74">
        <v>4.97</v>
      </c>
      <c r="I74">
        <v>6.93</v>
      </c>
      <c r="J74">
        <v>1</v>
      </c>
      <c r="K74">
        <v>4.5999999999999996</v>
      </c>
      <c r="L74">
        <v>68.5</v>
      </c>
      <c r="M74">
        <v>163</v>
      </c>
      <c r="N74">
        <v>5.5</v>
      </c>
      <c r="O74">
        <v>43</v>
      </c>
    </row>
    <row r="75" spans="1:15" x14ac:dyDescent="0.3">
      <c r="A75" t="s">
        <v>99</v>
      </c>
      <c r="B75">
        <v>42</v>
      </c>
      <c r="C75" t="s">
        <v>16</v>
      </c>
      <c r="D75" t="s">
        <v>17</v>
      </c>
      <c r="E75" t="s">
        <v>20</v>
      </c>
      <c r="F75">
        <v>8.6</v>
      </c>
      <c r="G75">
        <v>1.6</v>
      </c>
      <c r="H75">
        <v>7</v>
      </c>
      <c r="I75">
        <v>7.92</v>
      </c>
      <c r="J75">
        <v>2</v>
      </c>
      <c r="K75">
        <v>9.1999999999999993</v>
      </c>
      <c r="L75">
        <v>56</v>
      </c>
      <c r="M75">
        <v>144</v>
      </c>
      <c r="N75">
        <v>15.5</v>
      </c>
      <c r="O75">
        <v>21.4</v>
      </c>
    </row>
    <row r="76" spans="1:15" x14ac:dyDescent="0.3">
      <c r="A76" t="s">
        <v>100</v>
      </c>
      <c r="B76">
        <v>16</v>
      </c>
      <c r="C76" t="s">
        <v>16</v>
      </c>
      <c r="D76" t="s">
        <v>26</v>
      </c>
      <c r="E76" t="s">
        <v>18</v>
      </c>
      <c r="F76">
        <v>9.1300000000000008</v>
      </c>
      <c r="G76">
        <v>4.07</v>
      </c>
      <c r="H76">
        <v>5.0599999999999996</v>
      </c>
      <c r="I76">
        <v>6.84</v>
      </c>
      <c r="J76">
        <v>2</v>
      </c>
      <c r="K76">
        <v>5.4</v>
      </c>
      <c r="L76">
        <v>74.5</v>
      </c>
      <c r="M76">
        <v>161</v>
      </c>
      <c r="N76">
        <v>12.8</v>
      </c>
      <c r="O76">
        <v>52.8</v>
      </c>
    </row>
    <row r="77" spans="1:15" x14ac:dyDescent="0.3">
      <c r="A77" t="s">
        <v>101</v>
      </c>
      <c r="B77">
        <v>36</v>
      </c>
      <c r="C77" t="s">
        <v>16</v>
      </c>
      <c r="D77" t="s">
        <v>17</v>
      </c>
      <c r="E77" t="s">
        <v>18</v>
      </c>
      <c r="F77">
        <v>9.26</v>
      </c>
      <c r="G77">
        <v>4.57</v>
      </c>
      <c r="H77">
        <v>4.6900000000000004</v>
      </c>
      <c r="I77">
        <v>7.09</v>
      </c>
      <c r="J77">
        <v>1</v>
      </c>
      <c r="K77">
        <v>10</v>
      </c>
      <c r="L77">
        <v>51.1</v>
      </c>
      <c r="M77">
        <v>72</v>
      </c>
      <c r="N77">
        <v>9.9</v>
      </c>
      <c r="O77">
        <v>5.0999999999999996</v>
      </c>
    </row>
    <row r="78" spans="1:15" x14ac:dyDescent="0.3">
      <c r="A78" t="s">
        <v>102</v>
      </c>
      <c r="B78">
        <v>30</v>
      </c>
      <c r="C78" t="s">
        <v>16</v>
      </c>
      <c r="D78" t="s">
        <v>29</v>
      </c>
      <c r="E78" t="s">
        <v>18</v>
      </c>
      <c r="F78">
        <v>6.61</v>
      </c>
      <c r="G78">
        <v>1.82</v>
      </c>
      <c r="H78">
        <v>4.79</v>
      </c>
      <c r="I78">
        <v>7.26</v>
      </c>
      <c r="J78">
        <v>1</v>
      </c>
      <c r="K78">
        <v>6.8</v>
      </c>
      <c r="L78">
        <v>60.5</v>
      </c>
      <c r="M78">
        <v>88</v>
      </c>
      <c r="N78">
        <v>6</v>
      </c>
      <c r="O78">
        <v>19.3</v>
      </c>
    </row>
    <row r="79" spans="1:15" x14ac:dyDescent="0.3">
      <c r="A79" t="s">
        <v>103</v>
      </c>
      <c r="B79">
        <v>27</v>
      </c>
      <c r="C79" t="s">
        <v>16</v>
      </c>
      <c r="D79" t="s">
        <v>17</v>
      </c>
      <c r="E79" t="s">
        <v>20</v>
      </c>
      <c r="F79">
        <v>3.93</v>
      </c>
      <c r="G79">
        <v>1.02</v>
      </c>
      <c r="H79">
        <v>2.91</v>
      </c>
      <c r="I79">
        <v>8.75</v>
      </c>
      <c r="J79">
        <v>2</v>
      </c>
      <c r="K79">
        <v>2.2000000000000002</v>
      </c>
      <c r="L79">
        <v>88</v>
      </c>
      <c r="M79">
        <v>286</v>
      </c>
      <c r="N79">
        <v>16.600000000000001</v>
      </c>
      <c r="O79">
        <v>68.400000000000006</v>
      </c>
    </row>
    <row r="80" spans="1:15" x14ac:dyDescent="0.3">
      <c r="A80" t="s">
        <v>104</v>
      </c>
      <c r="B80">
        <v>30</v>
      </c>
      <c r="C80" t="s">
        <v>16</v>
      </c>
      <c r="D80" t="s">
        <v>29</v>
      </c>
      <c r="E80" t="s">
        <v>22</v>
      </c>
      <c r="F80">
        <v>11.75</v>
      </c>
      <c r="G80">
        <v>0.88</v>
      </c>
      <c r="H80">
        <v>10.87</v>
      </c>
      <c r="I80">
        <v>5.65</v>
      </c>
      <c r="J80">
        <v>1</v>
      </c>
      <c r="K80">
        <v>10</v>
      </c>
      <c r="L80">
        <v>41.5</v>
      </c>
      <c r="M80">
        <v>70</v>
      </c>
      <c r="N80">
        <v>10.3</v>
      </c>
      <c r="O80">
        <v>0</v>
      </c>
    </row>
    <row r="81" spans="1:15" x14ac:dyDescent="0.3">
      <c r="A81" t="s">
        <v>105</v>
      </c>
      <c r="B81">
        <v>16</v>
      </c>
      <c r="C81" t="s">
        <v>16</v>
      </c>
      <c r="D81" t="s">
        <v>17</v>
      </c>
      <c r="E81" t="s">
        <v>22</v>
      </c>
      <c r="F81">
        <v>7.58</v>
      </c>
      <c r="G81">
        <v>0.38</v>
      </c>
      <c r="H81">
        <v>7.2</v>
      </c>
      <c r="I81">
        <v>7.61</v>
      </c>
      <c r="J81">
        <v>2</v>
      </c>
      <c r="K81">
        <v>4.5</v>
      </c>
      <c r="L81">
        <v>67.7</v>
      </c>
      <c r="M81">
        <v>157</v>
      </c>
      <c r="N81">
        <v>3.4</v>
      </c>
      <c r="O81">
        <v>61.4</v>
      </c>
    </row>
    <row r="82" spans="1:15" x14ac:dyDescent="0.3">
      <c r="A82" t="s">
        <v>106</v>
      </c>
      <c r="B82">
        <v>28</v>
      </c>
      <c r="C82" t="s">
        <v>16</v>
      </c>
      <c r="D82" t="s">
        <v>17</v>
      </c>
      <c r="E82" t="s">
        <v>20</v>
      </c>
      <c r="F82">
        <v>9.14</v>
      </c>
      <c r="G82">
        <v>1.99</v>
      </c>
      <c r="H82">
        <v>7.15</v>
      </c>
      <c r="I82">
        <v>7.89</v>
      </c>
      <c r="J82">
        <v>1</v>
      </c>
      <c r="K82">
        <v>9.4</v>
      </c>
      <c r="L82">
        <v>45.5</v>
      </c>
      <c r="M82">
        <v>103</v>
      </c>
      <c r="N82">
        <v>0.9</v>
      </c>
      <c r="O82">
        <v>11.7</v>
      </c>
    </row>
    <row r="83" spans="1:15" x14ac:dyDescent="0.3">
      <c r="A83" t="s">
        <v>107</v>
      </c>
      <c r="B83">
        <v>32</v>
      </c>
      <c r="C83" t="s">
        <v>16</v>
      </c>
      <c r="D83" t="s">
        <v>29</v>
      </c>
      <c r="E83" t="s">
        <v>20</v>
      </c>
      <c r="F83">
        <v>5.44</v>
      </c>
      <c r="G83">
        <v>0.45</v>
      </c>
      <c r="H83">
        <v>4.99</v>
      </c>
      <c r="I83">
        <v>8.18</v>
      </c>
      <c r="J83">
        <v>2</v>
      </c>
      <c r="K83">
        <v>3</v>
      </c>
      <c r="L83">
        <v>88.3</v>
      </c>
      <c r="M83">
        <v>0</v>
      </c>
      <c r="N83">
        <v>7.1</v>
      </c>
      <c r="O83">
        <v>56.1</v>
      </c>
    </row>
    <row r="84" spans="1:15" x14ac:dyDescent="0.3">
      <c r="A84" t="s">
        <v>108</v>
      </c>
      <c r="B84">
        <v>41</v>
      </c>
      <c r="C84" t="s">
        <v>16</v>
      </c>
      <c r="D84" t="s">
        <v>26</v>
      </c>
      <c r="E84" t="s">
        <v>18</v>
      </c>
      <c r="F84">
        <v>9.86</v>
      </c>
      <c r="G84">
        <v>6.39</v>
      </c>
      <c r="H84">
        <v>3.47</v>
      </c>
      <c r="I84">
        <v>8.89</v>
      </c>
      <c r="J84">
        <v>3</v>
      </c>
      <c r="K84">
        <v>8.1999999999999993</v>
      </c>
      <c r="L84">
        <v>66.3</v>
      </c>
      <c r="M84">
        <v>0</v>
      </c>
      <c r="N84">
        <v>15.8</v>
      </c>
      <c r="O84">
        <v>32.6</v>
      </c>
    </row>
    <row r="85" spans="1:15" x14ac:dyDescent="0.3">
      <c r="A85" t="s">
        <v>109</v>
      </c>
      <c r="B85">
        <v>25</v>
      </c>
      <c r="C85" t="s">
        <v>24</v>
      </c>
      <c r="D85" t="s">
        <v>17</v>
      </c>
      <c r="E85" t="s">
        <v>20</v>
      </c>
      <c r="F85">
        <v>8.0500000000000007</v>
      </c>
      <c r="G85">
        <v>1.1000000000000001</v>
      </c>
      <c r="H85">
        <v>6.95</v>
      </c>
      <c r="I85">
        <v>6.72</v>
      </c>
      <c r="J85">
        <v>1</v>
      </c>
      <c r="K85">
        <v>7.1</v>
      </c>
      <c r="L85">
        <v>55.9</v>
      </c>
      <c r="M85">
        <v>67</v>
      </c>
      <c r="N85">
        <v>11.4</v>
      </c>
      <c r="O85">
        <v>17.5</v>
      </c>
    </row>
    <row r="86" spans="1:15" x14ac:dyDescent="0.3">
      <c r="A86" t="s">
        <v>110</v>
      </c>
      <c r="B86">
        <v>23</v>
      </c>
      <c r="C86" t="s">
        <v>16</v>
      </c>
      <c r="D86" t="s">
        <v>26</v>
      </c>
      <c r="E86" t="s">
        <v>18</v>
      </c>
      <c r="F86">
        <v>7.04</v>
      </c>
      <c r="G86">
        <v>3.5</v>
      </c>
      <c r="H86">
        <v>3.54</v>
      </c>
      <c r="I86">
        <v>8.0399999999999991</v>
      </c>
      <c r="J86">
        <v>3</v>
      </c>
      <c r="K86">
        <v>4.5999999999999996</v>
      </c>
      <c r="L86">
        <v>82.3</v>
      </c>
      <c r="M86">
        <v>186</v>
      </c>
      <c r="N86">
        <v>2.8</v>
      </c>
      <c r="O86">
        <v>72.599999999999994</v>
      </c>
    </row>
    <row r="87" spans="1:15" x14ac:dyDescent="0.3">
      <c r="A87" t="s">
        <v>111</v>
      </c>
      <c r="B87">
        <v>25</v>
      </c>
      <c r="C87" t="s">
        <v>24</v>
      </c>
      <c r="D87" t="s">
        <v>31</v>
      </c>
      <c r="E87" t="s">
        <v>18</v>
      </c>
      <c r="F87">
        <v>6.32</v>
      </c>
      <c r="G87">
        <v>1.72</v>
      </c>
      <c r="H87">
        <v>4.5999999999999996</v>
      </c>
      <c r="I87">
        <v>7.32</v>
      </c>
      <c r="J87">
        <v>2</v>
      </c>
      <c r="K87">
        <v>6.3</v>
      </c>
      <c r="L87">
        <v>64.400000000000006</v>
      </c>
      <c r="M87">
        <v>173</v>
      </c>
      <c r="N87">
        <v>3.6</v>
      </c>
      <c r="O87">
        <v>30.8</v>
      </c>
    </row>
    <row r="88" spans="1:15" x14ac:dyDescent="0.3">
      <c r="A88" t="s">
        <v>112</v>
      </c>
      <c r="B88">
        <v>37</v>
      </c>
      <c r="C88" t="s">
        <v>24</v>
      </c>
      <c r="D88" t="s">
        <v>37</v>
      </c>
      <c r="E88" t="s">
        <v>18</v>
      </c>
      <c r="F88">
        <v>10.3</v>
      </c>
      <c r="G88">
        <v>2.73</v>
      </c>
      <c r="H88">
        <v>7.57</v>
      </c>
      <c r="I88">
        <v>7.91</v>
      </c>
      <c r="J88">
        <v>1</v>
      </c>
      <c r="K88">
        <v>9.1</v>
      </c>
      <c r="L88">
        <v>50.4</v>
      </c>
      <c r="M88">
        <v>164</v>
      </c>
      <c r="N88">
        <v>13.5</v>
      </c>
      <c r="O88">
        <v>12.2</v>
      </c>
    </row>
    <row r="89" spans="1:15" x14ac:dyDescent="0.3">
      <c r="A89" t="s">
        <v>113</v>
      </c>
      <c r="B89">
        <v>32</v>
      </c>
      <c r="C89" t="s">
        <v>16</v>
      </c>
      <c r="D89" t="s">
        <v>26</v>
      </c>
      <c r="E89" t="s">
        <v>18</v>
      </c>
      <c r="F89">
        <v>9.24</v>
      </c>
      <c r="G89">
        <v>2.5299999999999998</v>
      </c>
      <c r="H89">
        <v>6.71</v>
      </c>
      <c r="I89">
        <v>7.03</v>
      </c>
      <c r="J89">
        <v>1</v>
      </c>
      <c r="K89">
        <v>9.3000000000000007</v>
      </c>
      <c r="L89">
        <v>46.5</v>
      </c>
      <c r="M89">
        <v>34</v>
      </c>
      <c r="N89">
        <v>4.5</v>
      </c>
      <c r="O89">
        <v>5</v>
      </c>
    </row>
    <row r="90" spans="1:15" x14ac:dyDescent="0.3">
      <c r="A90" t="s">
        <v>114</v>
      </c>
      <c r="B90">
        <v>25</v>
      </c>
      <c r="C90" t="s">
        <v>24</v>
      </c>
      <c r="D90" t="s">
        <v>17</v>
      </c>
      <c r="E90" t="s">
        <v>22</v>
      </c>
      <c r="F90">
        <v>8.2899999999999991</v>
      </c>
      <c r="G90">
        <v>1</v>
      </c>
      <c r="H90">
        <v>7.29</v>
      </c>
      <c r="I90">
        <v>6.8</v>
      </c>
      <c r="J90">
        <v>1</v>
      </c>
      <c r="K90">
        <v>6.4</v>
      </c>
      <c r="L90">
        <v>58.3</v>
      </c>
      <c r="M90">
        <v>219</v>
      </c>
      <c r="N90">
        <v>12</v>
      </c>
      <c r="O90">
        <v>34.5</v>
      </c>
    </row>
    <row r="91" spans="1:15" x14ac:dyDescent="0.3">
      <c r="A91" t="s">
        <v>115</v>
      </c>
      <c r="B91">
        <v>34</v>
      </c>
      <c r="C91" t="s">
        <v>24</v>
      </c>
      <c r="D91" t="s">
        <v>37</v>
      </c>
      <c r="E91" t="s">
        <v>20</v>
      </c>
      <c r="F91">
        <v>5.52</v>
      </c>
      <c r="G91">
        <v>0.92</v>
      </c>
      <c r="H91">
        <v>4.5999999999999996</v>
      </c>
      <c r="I91">
        <v>8.66</v>
      </c>
      <c r="J91">
        <v>2</v>
      </c>
      <c r="K91">
        <v>6.2</v>
      </c>
      <c r="L91">
        <v>68.7</v>
      </c>
      <c r="M91">
        <v>59</v>
      </c>
      <c r="N91">
        <v>5.9</v>
      </c>
      <c r="O91">
        <v>38.1</v>
      </c>
    </row>
    <row r="92" spans="1:15" x14ac:dyDescent="0.3">
      <c r="A92" t="s">
        <v>116</v>
      </c>
      <c r="B92">
        <v>30</v>
      </c>
      <c r="C92" t="s">
        <v>16</v>
      </c>
      <c r="D92" t="s">
        <v>26</v>
      </c>
      <c r="E92" t="s">
        <v>18</v>
      </c>
      <c r="F92">
        <v>9.1300000000000008</v>
      </c>
      <c r="G92">
        <v>2.42</v>
      </c>
      <c r="H92">
        <v>6.71</v>
      </c>
      <c r="I92">
        <v>6.64</v>
      </c>
      <c r="J92">
        <v>1</v>
      </c>
      <c r="K92">
        <v>10</v>
      </c>
      <c r="L92">
        <v>43.9</v>
      </c>
      <c r="M92">
        <v>118</v>
      </c>
      <c r="N92">
        <v>16.100000000000001</v>
      </c>
      <c r="O92">
        <v>0</v>
      </c>
    </row>
    <row r="93" spans="1:15" x14ac:dyDescent="0.3">
      <c r="A93" t="s">
        <v>117</v>
      </c>
      <c r="B93">
        <v>37</v>
      </c>
      <c r="C93" t="s">
        <v>16</v>
      </c>
      <c r="D93" t="s">
        <v>17</v>
      </c>
      <c r="E93" t="s">
        <v>18</v>
      </c>
      <c r="F93">
        <v>9.81</v>
      </c>
      <c r="G93">
        <v>2.46</v>
      </c>
      <c r="H93">
        <v>7.35</v>
      </c>
      <c r="I93">
        <v>5.87</v>
      </c>
      <c r="J93">
        <v>1</v>
      </c>
      <c r="K93">
        <v>10</v>
      </c>
      <c r="L93">
        <v>40.6</v>
      </c>
      <c r="M93">
        <v>102</v>
      </c>
      <c r="N93">
        <v>4</v>
      </c>
      <c r="O93">
        <v>0</v>
      </c>
    </row>
    <row r="94" spans="1:15" x14ac:dyDescent="0.3">
      <c r="A94" t="s">
        <v>118</v>
      </c>
      <c r="B94">
        <v>24</v>
      </c>
      <c r="C94" t="s">
        <v>24</v>
      </c>
      <c r="D94" t="s">
        <v>37</v>
      </c>
      <c r="E94" t="s">
        <v>22</v>
      </c>
      <c r="F94">
        <v>7.75</v>
      </c>
      <c r="G94">
        <v>0.96</v>
      </c>
      <c r="H94">
        <v>6.79</v>
      </c>
      <c r="I94">
        <v>6.76</v>
      </c>
      <c r="J94">
        <v>1</v>
      </c>
      <c r="K94">
        <v>8.3000000000000007</v>
      </c>
      <c r="L94">
        <v>57.1</v>
      </c>
      <c r="M94">
        <v>96</v>
      </c>
      <c r="N94">
        <v>14.6</v>
      </c>
      <c r="O94">
        <v>10.7</v>
      </c>
    </row>
    <row r="95" spans="1:15" x14ac:dyDescent="0.3">
      <c r="A95" t="s">
        <v>119</v>
      </c>
      <c r="B95">
        <v>27</v>
      </c>
      <c r="C95" t="s">
        <v>24</v>
      </c>
      <c r="D95" t="s">
        <v>26</v>
      </c>
      <c r="E95" t="s">
        <v>20</v>
      </c>
      <c r="F95">
        <v>7.05</v>
      </c>
      <c r="G95">
        <v>0.62</v>
      </c>
      <c r="H95">
        <v>6.43</v>
      </c>
      <c r="I95">
        <v>7.81</v>
      </c>
      <c r="J95">
        <v>1</v>
      </c>
      <c r="K95">
        <v>8.8000000000000007</v>
      </c>
      <c r="L95">
        <v>49.9</v>
      </c>
      <c r="M95">
        <v>208</v>
      </c>
      <c r="N95">
        <v>5.7</v>
      </c>
      <c r="O95">
        <v>14.4</v>
      </c>
    </row>
    <row r="96" spans="1:15" x14ac:dyDescent="0.3">
      <c r="A96" t="s">
        <v>120</v>
      </c>
      <c r="B96">
        <v>26</v>
      </c>
      <c r="C96" t="s">
        <v>16</v>
      </c>
      <c r="D96" t="s">
        <v>17</v>
      </c>
      <c r="E96" t="s">
        <v>22</v>
      </c>
      <c r="F96">
        <v>7.83</v>
      </c>
      <c r="G96">
        <v>0.87</v>
      </c>
      <c r="H96">
        <v>6.96</v>
      </c>
      <c r="I96">
        <v>8.3000000000000007</v>
      </c>
      <c r="J96">
        <v>3</v>
      </c>
      <c r="K96">
        <v>3.2</v>
      </c>
      <c r="L96">
        <v>95</v>
      </c>
      <c r="M96">
        <v>60</v>
      </c>
      <c r="N96">
        <v>8.6999999999999993</v>
      </c>
      <c r="O96">
        <v>80.900000000000006</v>
      </c>
    </row>
    <row r="97" spans="1:15" x14ac:dyDescent="0.3">
      <c r="A97" t="s">
        <v>121</v>
      </c>
      <c r="B97">
        <v>18</v>
      </c>
      <c r="C97" t="s">
        <v>16</v>
      </c>
      <c r="D97" t="s">
        <v>17</v>
      </c>
      <c r="E97" t="s">
        <v>22</v>
      </c>
      <c r="F97">
        <v>10.17</v>
      </c>
      <c r="G97">
        <v>1.01</v>
      </c>
      <c r="H97">
        <v>9.16</v>
      </c>
      <c r="I97">
        <v>6.84</v>
      </c>
      <c r="J97">
        <v>1</v>
      </c>
      <c r="K97">
        <v>10</v>
      </c>
      <c r="L97">
        <v>51.5</v>
      </c>
      <c r="M97">
        <v>0</v>
      </c>
      <c r="N97">
        <v>0</v>
      </c>
      <c r="O97">
        <v>0</v>
      </c>
    </row>
    <row r="98" spans="1:15" x14ac:dyDescent="0.3">
      <c r="A98" t="s">
        <v>122</v>
      </c>
      <c r="B98">
        <v>32</v>
      </c>
      <c r="C98" t="s">
        <v>16</v>
      </c>
      <c r="D98" t="s">
        <v>37</v>
      </c>
      <c r="E98" t="s">
        <v>18</v>
      </c>
      <c r="F98">
        <v>7.94</v>
      </c>
      <c r="G98">
        <v>2.93</v>
      </c>
      <c r="H98">
        <v>5.01</v>
      </c>
      <c r="I98">
        <v>8.2799999999999994</v>
      </c>
      <c r="J98">
        <v>2</v>
      </c>
      <c r="K98">
        <v>8.3000000000000007</v>
      </c>
      <c r="L98">
        <v>53.5</v>
      </c>
      <c r="M98">
        <v>113</v>
      </c>
      <c r="N98">
        <v>0</v>
      </c>
      <c r="O98">
        <v>18.7</v>
      </c>
    </row>
    <row r="99" spans="1:15" x14ac:dyDescent="0.3">
      <c r="A99" t="s">
        <v>123</v>
      </c>
      <c r="B99">
        <v>32</v>
      </c>
      <c r="C99" t="s">
        <v>16</v>
      </c>
      <c r="D99" t="s">
        <v>31</v>
      </c>
      <c r="E99" t="s">
        <v>18</v>
      </c>
      <c r="F99">
        <v>9.58</v>
      </c>
      <c r="G99">
        <v>3.64</v>
      </c>
      <c r="H99">
        <v>5.94</v>
      </c>
      <c r="I99">
        <v>5.9</v>
      </c>
      <c r="J99">
        <v>1</v>
      </c>
      <c r="K99">
        <v>8.9</v>
      </c>
      <c r="L99">
        <v>48.4</v>
      </c>
      <c r="M99">
        <v>74</v>
      </c>
      <c r="N99">
        <v>6.1</v>
      </c>
      <c r="O99">
        <v>6.1</v>
      </c>
    </row>
    <row r="100" spans="1:15" x14ac:dyDescent="0.3">
      <c r="A100" t="s">
        <v>124</v>
      </c>
      <c r="B100">
        <v>30</v>
      </c>
      <c r="C100" t="s">
        <v>24</v>
      </c>
      <c r="D100" t="s">
        <v>37</v>
      </c>
      <c r="E100" t="s">
        <v>20</v>
      </c>
      <c r="F100">
        <v>3.69</v>
      </c>
      <c r="G100">
        <v>0.67</v>
      </c>
      <c r="H100">
        <v>3.02</v>
      </c>
      <c r="I100">
        <v>7.49</v>
      </c>
      <c r="J100">
        <v>1</v>
      </c>
      <c r="K100">
        <v>6.8</v>
      </c>
      <c r="L100">
        <v>61.4</v>
      </c>
      <c r="M100">
        <v>372</v>
      </c>
      <c r="N100">
        <v>10.6</v>
      </c>
      <c r="O100">
        <v>30.3</v>
      </c>
    </row>
    <row r="101" spans="1:15" x14ac:dyDescent="0.3">
      <c r="A101" t="s">
        <v>125</v>
      </c>
      <c r="B101">
        <v>28</v>
      </c>
      <c r="C101" t="s">
        <v>16</v>
      </c>
      <c r="D101" t="s">
        <v>17</v>
      </c>
      <c r="E101" t="s">
        <v>20</v>
      </c>
      <c r="F101">
        <v>7.58</v>
      </c>
      <c r="G101">
        <v>0.38</v>
      </c>
      <c r="H101">
        <v>7.2</v>
      </c>
      <c r="I101">
        <v>7.01</v>
      </c>
      <c r="J101">
        <v>1</v>
      </c>
      <c r="K101">
        <v>7.7</v>
      </c>
      <c r="L101">
        <v>53.9</v>
      </c>
      <c r="M101">
        <v>159</v>
      </c>
      <c r="N101">
        <v>4.3</v>
      </c>
      <c r="O101">
        <v>24.2</v>
      </c>
    </row>
    <row r="102" spans="1:15" x14ac:dyDescent="0.3">
      <c r="A102" t="s">
        <v>126</v>
      </c>
      <c r="B102">
        <v>18</v>
      </c>
      <c r="C102" t="s">
        <v>16</v>
      </c>
      <c r="D102" t="s">
        <v>29</v>
      </c>
      <c r="E102" t="s">
        <v>18</v>
      </c>
      <c r="F102">
        <v>9.82</v>
      </c>
      <c r="G102">
        <v>5.22</v>
      </c>
      <c r="H102">
        <v>4.5999999999999996</v>
      </c>
      <c r="I102">
        <v>6.72</v>
      </c>
      <c r="J102">
        <v>1</v>
      </c>
      <c r="K102">
        <v>9.1999999999999993</v>
      </c>
      <c r="L102">
        <v>58.5</v>
      </c>
      <c r="M102">
        <v>64</v>
      </c>
      <c r="N102">
        <v>2.7</v>
      </c>
      <c r="O102">
        <v>10.7</v>
      </c>
    </row>
    <row r="103" spans="1:15" x14ac:dyDescent="0.3">
      <c r="A103" t="s">
        <v>127</v>
      </c>
      <c r="B103">
        <v>26</v>
      </c>
      <c r="C103" t="s">
        <v>24</v>
      </c>
      <c r="D103" t="s">
        <v>29</v>
      </c>
      <c r="E103" t="s">
        <v>20</v>
      </c>
      <c r="F103">
        <v>8.5299999999999994</v>
      </c>
      <c r="G103">
        <v>0.43</v>
      </c>
      <c r="H103">
        <v>8.1</v>
      </c>
      <c r="I103">
        <v>7.15</v>
      </c>
      <c r="J103">
        <v>1</v>
      </c>
      <c r="K103">
        <v>9.5</v>
      </c>
      <c r="L103">
        <v>45.4</v>
      </c>
      <c r="M103">
        <v>31</v>
      </c>
      <c r="N103">
        <v>8.3000000000000007</v>
      </c>
      <c r="O103">
        <v>6.7</v>
      </c>
    </row>
    <row r="104" spans="1:15" x14ac:dyDescent="0.3">
      <c r="A104" t="s">
        <v>128</v>
      </c>
      <c r="B104">
        <v>27</v>
      </c>
      <c r="C104" t="s">
        <v>16</v>
      </c>
      <c r="D104" t="s">
        <v>17</v>
      </c>
      <c r="E104" t="s">
        <v>22</v>
      </c>
      <c r="F104">
        <v>7.32</v>
      </c>
      <c r="G104">
        <v>0.61</v>
      </c>
      <c r="H104">
        <v>6.71</v>
      </c>
      <c r="I104">
        <v>7.82</v>
      </c>
      <c r="J104">
        <v>2</v>
      </c>
      <c r="K104">
        <v>5.0999999999999996</v>
      </c>
      <c r="L104">
        <v>74.8</v>
      </c>
      <c r="M104">
        <v>0</v>
      </c>
      <c r="N104">
        <v>10.9</v>
      </c>
      <c r="O104">
        <v>41.4</v>
      </c>
    </row>
    <row r="105" spans="1:15" x14ac:dyDescent="0.3">
      <c r="A105" t="s">
        <v>129</v>
      </c>
      <c r="B105">
        <v>23</v>
      </c>
      <c r="C105" t="s">
        <v>16</v>
      </c>
      <c r="D105" t="s">
        <v>29</v>
      </c>
      <c r="E105" t="s">
        <v>20</v>
      </c>
      <c r="F105">
        <v>4.3</v>
      </c>
      <c r="G105">
        <v>0.48</v>
      </c>
      <c r="H105">
        <v>3.82</v>
      </c>
      <c r="I105">
        <v>7.33</v>
      </c>
      <c r="J105">
        <v>1</v>
      </c>
      <c r="K105">
        <v>7</v>
      </c>
      <c r="L105">
        <v>66.8</v>
      </c>
      <c r="M105">
        <v>57</v>
      </c>
      <c r="N105">
        <v>8.1</v>
      </c>
      <c r="O105">
        <v>27.3</v>
      </c>
    </row>
    <row r="106" spans="1:15" x14ac:dyDescent="0.3">
      <c r="A106" t="s">
        <v>130</v>
      </c>
      <c r="B106">
        <v>28</v>
      </c>
      <c r="C106" t="s">
        <v>24</v>
      </c>
      <c r="D106" t="s">
        <v>26</v>
      </c>
      <c r="E106" t="s">
        <v>18</v>
      </c>
      <c r="F106">
        <v>12.51</v>
      </c>
      <c r="G106">
        <v>6.79</v>
      </c>
      <c r="H106">
        <v>5.72</v>
      </c>
      <c r="I106">
        <v>6.61</v>
      </c>
      <c r="J106">
        <v>1</v>
      </c>
      <c r="K106">
        <v>10</v>
      </c>
      <c r="L106">
        <v>33.200000000000003</v>
      </c>
      <c r="M106">
        <v>90</v>
      </c>
      <c r="N106">
        <v>6.6</v>
      </c>
      <c r="O106">
        <v>2.9</v>
      </c>
    </row>
    <row r="107" spans="1:15" x14ac:dyDescent="0.3">
      <c r="A107" t="s">
        <v>131</v>
      </c>
      <c r="B107">
        <v>33</v>
      </c>
      <c r="C107" t="s">
        <v>24</v>
      </c>
      <c r="D107" t="s">
        <v>17</v>
      </c>
      <c r="E107" t="s">
        <v>22</v>
      </c>
      <c r="F107">
        <v>4.8899999999999997</v>
      </c>
      <c r="G107">
        <v>0.62</v>
      </c>
      <c r="H107">
        <v>4.2699999999999996</v>
      </c>
      <c r="I107">
        <v>7.66</v>
      </c>
      <c r="J107">
        <v>1</v>
      </c>
      <c r="K107">
        <v>4.3</v>
      </c>
      <c r="L107">
        <v>68.3</v>
      </c>
      <c r="M107">
        <v>230</v>
      </c>
      <c r="N107">
        <v>2</v>
      </c>
      <c r="O107">
        <v>39.9</v>
      </c>
    </row>
    <row r="108" spans="1:15" x14ac:dyDescent="0.3">
      <c r="A108" t="s">
        <v>132</v>
      </c>
      <c r="B108">
        <v>45</v>
      </c>
      <c r="C108" t="s">
        <v>16</v>
      </c>
      <c r="D108" t="s">
        <v>26</v>
      </c>
      <c r="E108" t="s">
        <v>18</v>
      </c>
      <c r="F108">
        <v>11.1</v>
      </c>
      <c r="G108">
        <v>4.95</v>
      </c>
      <c r="H108">
        <v>6.15</v>
      </c>
      <c r="I108">
        <v>6.14</v>
      </c>
      <c r="J108">
        <v>1</v>
      </c>
      <c r="K108">
        <v>9.5</v>
      </c>
      <c r="L108">
        <v>36.1</v>
      </c>
      <c r="M108">
        <v>177</v>
      </c>
      <c r="N108">
        <v>4.5999999999999996</v>
      </c>
      <c r="O108">
        <v>8.8000000000000007</v>
      </c>
    </row>
    <row r="109" spans="1:15" x14ac:dyDescent="0.3">
      <c r="A109" t="s">
        <v>133</v>
      </c>
      <c r="B109">
        <v>31</v>
      </c>
      <c r="C109" t="s">
        <v>24</v>
      </c>
      <c r="D109" t="s">
        <v>26</v>
      </c>
      <c r="E109" t="s">
        <v>22</v>
      </c>
      <c r="F109">
        <v>10.84</v>
      </c>
      <c r="G109">
        <v>0.57999999999999996</v>
      </c>
      <c r="H109">
        <v>10.26</v>
      </c>
      <c r="I109">
        <v>6.69</v>
      </c>
      <c r="J109">
        <v>1</v>
      </c>
      <c r="K109">
        <v>10</v>
      </c>
      <c r="L109">
        <v>36.4</v>
      </c>
      <c r="M109">
        <v>109</v>
      </c>
      <c r="N109">
        <v>14.9</v>
      </c>
      <c r="O109">
        <v>0.3</v>
      </c>
    </row>
    <row r="110" spans="1:15" x14ac:dyDescent="0.3">
      <c r="A110" t="s">
        <v>134</v>
      </c>
      <c r="B110">
        <v>32</v>
      </c>
      <c r="C110" t="s">
        <v>16</v>
      </c>
      <c r="D110" t="s">
        <v>26</v>
      </c>
      <c r="E110" t="s">
        <v>18</v>
      </c>
      <c r="F110">
        <v>13.9</v>
      </c>
      <c r="G110">
        <v>5.84</v>
      </c>
      <c r="H110">
        <v>8.06</v>
      </c>
      <c r="I110">
        <v>6.22</v>
      </c>
      <c r="J110">
        <v>2</v>
      </c>
      <c r="K110">
        <v>10</v>
      </c>
      <c r="L110">
        <v>26</v>
      </c>
      <c r="M110">
        <v>53</v>
      </c>
      <c r="N110">
        <v>3</v>
      </c>
      <c r="O110">
        <v>8.6999999999999993</v>
      </c>
    </row>
    <row r="111" spans="1:15" x14ac:dyDescent="0.3">
      <c r="A111" t="s">
        <v>135</v>
      </c>
      <c r="B111">
        <v>29</v>
      </c>
      <c r="C111" t="s">
        <v>16</v>
      </c>
      <c r="D111" t="s">
        <v>17</v>
      </c>
      <c r="E111" t="s">
        <v>18</v>
      </c>
      <c r="F111">
        <v>12.05</v>
      </c>
      <c r="G111">
        <v>2.66</v>
      </c>
      <c r="H111">
        <v>9.39</v>
      </c>
      <c r="I111">
        <v>6.45</v>
      </c>
      <c r="J111">
        <v>1</v>
      </c>
      <c r="K111">
        <v>9.6</v>
      </c>
      <c r="L111">
        <v>44.8</v>
      </c>
      <c r="M111">
        <v>104</v>
      </c>
      <c r="N111">
        <v>9.3000000000000007</v>
      </c>
      <c r="O111">
        <v>4.0999999999999996</v>
      </c>
    </row>
    <row r="112" spans="1:15" x14ac:dyDescent="0.3">
      <c r="A112" t="s">
        <v>136</v>
      </c>
      <c r="B112">
        <v>16</v>
      </c>
      <c r="C112" t="s">
        <v>24</v>
      </c>
      <c r="D112" t="s">
        <v>17</v>
      </c>
      <c r="E112" t="s">
        <v>22</v>
      </c>
      <c r="F112">
        <v>6.34</v>
      </c>
      <c r="G112">
        <v>0.35</v>
      </c>
      <c r="H112">
        <v>5.99</v>
      </c>
      <c r="I112">
        <v>7.33</v>
      </c>
      <c r="J112">
        <v>2</v>
      </c>
      <c r="K112">
        <v>5</v>
      </c>
      <c r="L112">
        <v>86.8</v>
      </c>
      <c r="M112">
        <v>77</v>
      </c>
      <c r="N112">
        <v>20</v>
      </c>
      <c r="O112">
        <v>54.7</v>
      </c>
    </row>
    <row r="113" spans="1:15" x14ac:dyDescent="0.3">
      <c r="A113" t="s">
        <v>137</v>
      </c>
      <c r="B113">
        <v>29</v>
      </c>
      <c r="C113" t="s">
        <v>16</v>
      </c>
      <c r="D113" t="s">
        <v>17</v>
      </c>
      <c r="E113" t="s">
        <v>20</v>
      </c>
      <c r="F113">
        <v>11.04</v>
      </c>
      <c r="G113">
        <v>0.85</v>
      </c>
      <c r="H113">
        <v>10.19</v>
      </c>
      <c r="I113">
        <v>6.79</v>
      </c>
      <c r="J113">
        <v>1</v>
      </c>
      <c r="K113">
        <v>10</v>
      </c>
      <c r="L113">
        <v>42.3</v>
      </c>
      <c r="M113">
        <v>212</v>
      </c>
      <c r="N113">
        <v>0</v>
      </c>
      <c r="O113">
        <v>4.7</v>
      </c>
    </row>
    <row r="114" spans="1:15" x14ac:dyDescent="0.3">
      <c r="A114" t="s">
        <v>138</v>
      </c>
      <c r="B114">
        <v>30</v>
      </c>
      <c r="C114" t="s">
        <v>16</v>
      </c>
      <c r="D114" t="s">
        <v>26</v>
      </c>
      <c r="E114" t="s">
        <v>18</v>
      </c>
      <c r="F114">
        <v>11.19</v>
      </c>
      <c r="G114">
        <v>5.16</v>
      </c>
      <c r="H114">
        <v>6.03</v>
      </c>
      <c r="I114">
        <v>6.38</v>
      </c>
      <c r="J114">
        <v>1</v>
      </c>
      <c r="K114">
        <v>9.1999999999999993</v>
      </c>
      <c r="L114">
        <v>35.9</v>
      </c>
      <c r="M114">
        <v>78</v>
      </c>
      <c r="N114">
        <v>11.5</v>
      </c>
      <c r="O114">
        <v>2.5</v>
      </c>
    </row>
    <row r="115" spans="1:15" x14ac:dyDescent="0.3">
      <c r="A115" t="s">
        <v>139</v>
      </c>
      <c r="B115">
        <v>49</v>
      </c>
      <c r="C115" t="s">
        <v>16</v>
      </c>
      <c r="D115" t="s">
        <v>17</v>
      </c>
      <c r="E115" t="s">
        <v>22</v>
      </c>
      <c r="F115">
        <v>10.050000000000001</v>
      </c>
      <c r="G115">
        <v>0.5</v>
      </c>
      <c r="H115">
        <v>9.5500000000000007</v>
      </c>
      <c r="I115">
        <v>8.1</v>
      </c>
      <c r="J115">
        <v>2</v>
      </c>
      <c r="K115">
        <v>7.1</v>
      </c>
      <c r="L115">
        <v>56.7</v>
      </c>
      <c r="M115">
        <v>101</v>
      </c>
      <c r="N115">
        <v>13.9</v>
      </c>
      <c r="O115">
        <v>32</v>
      </c>
    </row>
    <row r="116" spans="1:15" x14ac:dyDescent="0.3">
      <c r="A116" t="s">
        <v>140</v>
      </c>
      <c r="B116">
        <v>28</v>
      </c>
      <c r="C116" t="s">
        <v>16</v>
      </c>
      <c r="D116" t="s">
        <v>17</v>
      </c>
      <c r="E116" t="s">
        <v>20</v>
      </c>
      <c r="F116">
        <v>11.94</v>
      </c>
      <c r="G116">
        <v>0.6</v>
      </c>
      <c r="H116">
        <v>11.34</v>
      </c>
      <c r="I116">
        <v>5.65</v>
      </c>
      <c r="J116">
        <v>1</v>
      </c>
      <c r="K116">
        <v>10</v>
      </c>
      <c r="L116">
        <v>37.299999999999997</v>
      </c>
      <c r="M116">
        <v>0</v>
      </c>
      <c r="N116">
        <v>5.7</v>
      </c>
      <c r="O116">
        <v>0.9</v>
      </c>
    </row>
    <row r="117" spans="1:15" x14ac:dyDescent="0.3">
      <c r="A117" t="s">
        <v>141</v>
      </c>
      <c r="B117">
        <v>32</v>
      </c>
      <c r="C117" t="s">
        <v>16</v>
      </c>
      <c r="D117" t="s">
        <v>17</v>
      </c>
      <c r="E117" t="s">
        <v>18</v>
      </c>
      <c r="F117">
        <v>7.8</v>
      </c>
      <c r="G117">
        <v>4.17</v>
      </c>
      <c r="H117">
        <v>3.63</v>
      </c>
      <c r="I117">
        <v>6.67</v>
      </c>
      <c r="J117">
        <v>1</v>
      </c>
      <c r="K117">
        <v>6.9</v>
      </c>
      <c r="L117">
        <v>52.6</v>
      </c>
      <c r="M117">
        <v>99</v>
      </c>
      <c r="N117">
        <v>11.6</v>
      </c>
      <c r="O117">
        <v>14.3</v>
      </c>
    </row>
    <row r="118" spans="1:15" x14ac:dyDescent="0.3">
      <c r="A118" t="s">
        <v>142</v>
      </c>
      <c r="B118">
        <v>29</v>
      </c>
      <c r="C118" t="s">
        <v>16</v>
      </c>
      <c r="D118" t="s">
        <v>17</v>
      </c>
      <c r="E118" t="s">
        <v>22</v>
      </c>
      <c r="F118">
        <v>11.23</v>
      </c>
      <c r="G118">
        <v>2.25</v>
      </c>
      <c r="H118">
        <v>8.98</v>
      </c>
      <c r="I118">
        <v>8.93</v>
      </c>
      <c r="J118">
        <v>2</v>
      </c>
      <c r="K118">
        <v>9.3000000000000007</v>
      </c>
      <c r="L118">
        <v>55.1</v>
      </c>
      <c r="M118">
        <v>149</v>
      </c>
      <c r="N118">
        <v>0</v>
      </c>
      <c r="O118">
        <v>28.6</v>
      </c>
    </row>
    <row r="119" spans="1:15" x14ac:dyDescent="0.3">
      <c r="A119" t="s">
        <v>143</v>
      </c>
      <c r="B119">
        <v>20</v>
      </c>
      <c r="C119" t="s">
        <v>16</v>
      </c>
      <c r="D119" t="s">
        <v>17</v>
      </c>
      <c r="E119" t="s">
        <v>22</v>
      </c>
      <c r="F119">
        <v>8.6999999999999993</v>
      </c>
      <c r="G119">
        <v>1.4</v>
      </c>
      <c r="H119">
        <v>7.3</v>
      </c>
      <c r="I119">
        <v>6.16</v>
      </c>
      <c r="J119">
        <v>1</v>
      </c>
      <c r="K119">
        <v>8.4</v>
      </c>
      <c r="L119">
        <v>56.2</v>
      </c>
      <c r="M119">
        <v>26</v>
      </c>
      <c r="N119">
        <v>5.4</v>
      </c>
      <c r="O119">
        <v>2.7</v>
      </c>
    </row>
    <row r="120" spans="1:15" x14ac:dyDescent="0.3">
      <c r="A120" t="s">
        <v>144</v>
      </c>
      <c r="B120">
        <v>39</v>
      </c>
      <c r="C120" t="s">
        <v>16</v>
      </c>
      <c r="D120" t="s">
        <v>29</v>
      </c>
      <c r="E120" t="s">
        <v>20</v>
      </c>
      <c r="F120">
        <v>1</v>
      </c>
      <c r="G120">
        <v>0.11</v>
      </c>
      <c r="H120">
        <v>0.89</v>
      </c>
      <c r="I120">
        <v>7.26</v>
      </c>
      <c r="J120">
        <v>3</v>
      </c>
      <c r="K120">
        <v>0</v>
      </c>
      <c r="L120">
        <v>100</v>
      </c>
      <c r="M120">
        <v>104</v>
      </c>
      <c r="N120">
        <v>15.7</v>
      </c>
      <c r="O120">
        <v>87.2</v>
      </c>
    </row>
    <row r="121" spans="1:15" x14ac:dyDescent="0.3">
      <c r="A121" t="s">
        <v>145</v>
      </c>
      <c r="B121">
        <v>36</v>
      </c>
      <c r="C121" t="s">
        <v>24</v>
      </c>
      <c r="D121" t="s">
        <v>17</v>
      </c>
      <c r="E121" t="s">
        <v>18</v>
      </c>
      <c r="F121">
        <v>10.119999999999999</v>
      </c>
      <c r="G121">
        <v>4.82</v>
      </c>
      <c r="H121">
        <v>5.3</v>
      </c>
      <c r="I121">
        <v>7.53</v>
      </c>
      <c r="J121">
        <v>1</v>
      </c>
      <c r="K121">
        <v>10</v>
      </c>
      <c r="L121">
        <v>47.2</v>
      </c>
      <c r="M121">
        <v>156</v>
      </c>
      <c r="N121">
        <v>12.6</v>
      </c>
      <c r="O121">
        <v>5</v>
      </c>
    </row>
    <row r="122" spans="1:15" x14ac:dyDescent="0.3">
      <c r="A122" t="s">
        <v>146</v>
      </c>
      <c r="B122">
        <v>36</v>
      </c>
      <c r="C122" t="s">
        <v>24</v>
      </c>
      <c r="D122" t="s">
        <v>26</v>
      </c>
      <c r="E122" t="s">
        <v>22</v>
      </c>
      <c r="F122">
        <v>10.039999999999999</v>
      </c>
      <c r="G122">
        <v>2.11</v>
      </c>
      <c r="H122">
        <v>7.93</v>
      </c>
      <c r="I122">
        <v>5.29</v>
      </c>
      <c r="J122">
        <v>1</v>
      </c>
      <c r="K122">
        <v>10</v>
      </c>
      <c r="L122">
        <v>52.1</v>
      </c>
      <c r="M122">
        <v>0</v>
      </c>
      <c r="N122">
        <v>14.6</v>
      </c>
      <c r="O122">
        <v>6.1</v>
      </c>
    </row>
    <row r="123" spans="1:15" x14ac:dyDescent="0.3">
      <c r="A123" t="s">
        <v>147</v>
      </c>
      <c r="B123">
        <v>22</v>
      </c>
      <c r="C123" t="s">
        <v>24</v>
      </c>
      <c r="D123" t="s">
        <v>26</v>
      </c>
      <c r="E123" t="s">
        <v>20</v>
      </c>
      <c r="F123">
        <v>6.42</v>
      </c>
      <c r="G123">
        <v>0.32</v>
      </c>
      <c r="H123">
        <v>6.1</v>
      </c>
      <c r="I123">
        <v>7.17</v>
      </c>
      <c r="J123">
        <v>1</v>
      </c>
      <c r="K123">
        <v>6.7</v>
      </c>
      <c r="L123">
        <v>73</v>
      </c>
      <c r="M123">
        <v>190</v>
      </c>
      <c r="N123">
        <v>15.4</v>
      </c>
      <c r="O123">
        <v>42.7</v>
      </c>
    </row>
    <row r="124" spans="1:15" x14ac:dyDescent="0.3">
      <c r="A124" t="s">
        <v>148</v>
      </c>
      <c r="B124">
        <v>41</v>
      </c>
      <c r="C124" t="s">
        <v>24</v>
      </c>
      <c r="D124" t="s">
        <v>29</v>
      </c>
      <c r="E124" t="s">
        <v>20</v>
      </c>
      <c r="F124">
        <v>9.58</v>
      </c>
      <c r="G124">
        <v>2.08</v>
      </c>
      <c r="H124">
        <v>7.5</v>
      </c>
      <c r="I124">
        <v>8.7899999999999991</v>
      </c>
      <c r="J124">
        <v>2</v>
      </c>
      <c r="K124">
        <v>6.6</v>
      </c>
      <c r="L124">
        <v>80.400000000000006</v>
      </c>
      <c r="M124">
        <v>69</v>
      </c>
      <c r="N124">
        <v>3.8</v>
      </c>
      <c r="O124">
        <v>30.5</v>
      </c>
    </row>
    <row r="125" spans="1:15" x14ac:dyDescent="0.3">
      <c r="A125" t="s">
        <v>149</v>
      </c>
      <c r="B125">
        <v>18</v>
      </c>
      <c r="C125" t="s">
        <v>16</v>
      </c>
      <c r="D125" t="s">
        <v>26</v>
      </c>
      <c r="E125" t="s">
        <v>22</v>
      </c>
      <c r="F125">
        <v>7.77</v>
      </c>
      <c r="G125">
        <v>1.17</v>
      </c>
      <c r="H125">
        <v>6.6</v>
      </c>
      <c r="I125">
        <v>5.88</v>
      </c>
      <c r="J125">
        <v>1</v>
      </c>
      <c r="K125">
        <v>10</v>
      </c>
      <c r="L125">
        <v>40.9</v>
      </c>
      <c r="M125">
        <v>78</v>
      </c>
      <c r="N125">
        <v>17</v>
      </c>
      <c r="O125">
        <v>0</v>
      </c>
    </row>
    <row r="126" spans="1:15" x14ac:dyDescent="0.3">
      <c r="A126" t="s">
        <v>150</v>
      </c>
      <c r="B126">
        <v>34</v>
      </c>
      <c r="C126" t="s">
        <v>16</v>
      </c>
      <c r="D126" t="s">
        <v>29</v>
      </c>
      <c r="E126" t="s">
        <v>22</v>
      </c>
      <c r="F126">
        <v>7.85</v>
      </c>
      <c r="G126">
        <v>1.44</v>
      </c>
      <c r="H126">
        <v>6.41</v>
      </c>
      <c r="I126">
        <v>5.68</v>
      </c>
      <c r="J126">
        <v>1</v>
      </c>
      <c r="K126">
        <v>8.1</v>
      </c>
      <c r="L126">
        <v>70.8</v>
      </c>
      <c r="M126">
        <v>34</v>
      </c>
      <c r="N126">
        <v>10.5</v>
      </c>
      <c r="O126">
        <v>8.6999999999999993</v>
      </c>
    </row>
    <row r="127" spans="1:15" x14ac:dyDescent="0.3">
      <c r="A127" t="s">
        <v>151</v>
      </c>
      <c r="B127">
        <v>47</v>
      </c>
      <c r="C127" t="s">
        <v>24</v>
      </c>
      <c r="D127" t="s">
        <v>17</v>
      </c>
      <c r="E127" t="s">
        <v>22</v>
      </c>
      <c r="F127">
        <v>6</v>
      </c>
      <c r="G127">
        <v>0.3</v>
      </c>
      <c r="H127">
        <v>5.7</v>
      </c>
      <c r="I127">
        <v>6.47</v>
      </c>
      <c r="J127">
        <v>1</v>
      </c>
      <c r="K127">
        <v>9.4</v>
      </c>
      <c r="L127">
        <v>49.3</v>
      </c>
      <c r="M127">
        <v>157</v>
      </c>
      <c r="N127">
        <v>16.399999999999999</v>
      </c>
      <c r="O127">
        <v>9.6</v>
      </c>
    </row>
    <row r="128" spans="1:15" x14ac:dyDescent="0.3">
      <c r="A128" t="s">
        <v>152</v>
      </c>
      <c r="B128">
        <v>22</v>
      </c>
      <c r="C128" t="s">
        <v>24</v>
      </c>
      <c r="D128" t="s">
        <v>37</v>
      </c>
      <c r="E128" t="s">
        <v>20</v>
      </c>
      <c r="F128">
        <v>9.23</v>
      </c>
      <c r="G128">
        <v>0.73</v>
      </c>
      <c r="H128">
        <v>8.5</v>
      </c>
      <c r="I128">
        <v>7.65</v>
      </c>
      <c r="J128">
        <v>2</v>
      </c>
      <c r="K128">
        <v>4.8</v>
      </c>
      <c r="L128">
        <v>67.400000000000006</v>
      </c>
      <c r="M128">
        <v>271</v>
      </c>
      <c r="N128">
        <v>7.9</v>
      </c>
      <c r="O128">
        <v>52.1</v>
      </c>
    </row>
    <row r="129" spans="1:15" x14ac:dyDescent="0.3">
      <c r="A129" t="s">
        <v>153</v>
      </c>
      <c r="B129">
        <v>25</v>
      </c>
      <c r="C129" t="s">
        <v>24</v>
      </c>
      <c r="D129" t="s">
        <v>17</v>
      </c>
      <c r="E129" t="s">
        <v>22</v>
      </c>
      <c r="F129">
        <v>11.27</v>
      </c>
      <c r="G129">
        <v>1.99</v>
      </c>
      <c r="H129">
        <v>9.2799999999999994</v>
      </c>
      <c r="I129">
        <v>7.56</v>
      </c>
      <c r="J129">
        <v>3</v>
      </c>
      <c r="K129">
        <v>8.9</v>
      </c>
      <c r="L129">
        <v>59.5</v>
      </c>
      <c r="M129">
        <v>143</v>
      </c>
      <c r="N129">
        <v>6.6</v>
      </c>
      <c r="O129">
        <v>41.2</v>
      </c>
    </row>
    <row r="130" spans="1:15" x14ac:dyDescent="0.3">
      <c r="A130" t="s">
        <v>154</v>
      </c>
      <c r="B130">
        <v>30</v>
      </c>
      <c r="C130" t="s">
        <v>16</v>
      </c>
      <c r="D130" t="s">
        <v>31</v>
      </c>
      <c r="E130" t="s">
        <v>18</v>
      </c>
      <c r="F130">
        <v>9.0500000000000007</v>
      </c>
      <c r="G130">
        <v>5.35</v>
      </c>
      <c r="H130">
        <v>3.7</v>
      </c>
      <c r="I130">
        <v>6.63</v>
      </c>
      <c r="J130">
        <v>1</v>
      </c>
      <c r="K130">
        <v>10</v>
      </c>
      <c r="L130">
        <v>40.9</v>
      </c>
      <c r="M130">
        <v>43</v>
      </c>
      <c r="N130">
        <v>7.6</v>
      </c>
      <c r="O130">
        <v>0.9</v>
      </c>
    </row>
    <row r="131" spans="1:15" x14ac:dyDescent="0.3">
      <c r="A131" t="s">
        <v>155</v>
      </c>
      <c r="B131">
        <v>25</v>
      </c>
      <c r="C131" t="s">
        <v>16</v>
      </c>
      <c r="D131" t="s">
        <v>17</v>
      </c>
      <c r="E131" t="s">
        <v>20</v>
      </c>
      <c r="F131">
        <v>8.07</v>
      </c>
      <c r="G131">
        <v>0.75</v>
      </c>
      <c r="H131">
        <v>7.32</v>
      </c>
      <c r="I131">
        <v>7.69</v>
      </c>
      <c r="J131">
        <v>1</v>
      </c>
      <c r="K131">
        <v>7.9</v>
      </c>
      <c r="L131">
        <v>56.7</v>
      </c>
      <c r="M131">
        <v>187</v>
      </c>
      <c r="N131">
        <v>0</v>
      </c>
      <c r="O131">
        <v>26.9</v>
      </c>
    </row>
    <row r="132" spans="1:15" x14ac:dyDescent="0.3">
      <c r="A132" t="s">
        <v>156</v>
      </c>
      <c r="B132">
        <v>17</v>
      </c>
      <c r="C132" t="s">
        <v>16</v>
      </c>
      <c r="D132" t="s">
        <v>17</v>
      </c>
      <c r="E132" t="s">
        <v>22</v>
      </c>
      <c r="F132">
        <v>5.52</v>
      </c>
      <c r="G132">
        <v>1.1599999999999999</v>
      </c>
      <c r="H132">
        <v>4.3600000000000003</v>
      </c>
      <c r="I132">
        <v>8.5500000000000007</v>
      </c>
      <c r="J132">
        <v>3</v>
      </c>
      <c r="K132">
        <v>3.7</v>
      </c>
      <c r="L132">
        <v>79</v>
      </c>
      <c r="M132">
        <v>96</v>
      </c>
      <c r="N132">
        <v>3.2</v>
      </c>
      <c r="O132">
        <v>67.8</v>
      </c>
    </row>
    <row r="133" spans="1:15" x14ac:dyDescent="0.3">
      <c r="A133" t="s">
        <v>157</v>
      </c>
      <c r="B133">
        <v>30</v>
      </c>
      <c r="C133" t="s">
        <v>16</v>
      </c>
      <c r="D133" t="s">
        <v>17</v>
      </c>
      <c r="E133" t="s">
        <v>22</v>
      </c>
      <c r="F133">
        <v>10.27</v>
      </c>
      <c r="G133">
        <v>0.96</v>
      </c>
      <c r="H133">
        <v>9.31</v>
      </c>
      <c r="I133">
        <v>8.2899999999999991</v>
      </c>
      <c r="J133">
        <v>3</v>
      </c>
      <c r="K133">
        <v>8.3000000000000007</v>
      </c>
      <c r="L133">
        <v>60</v>
      </c>
      <c r="M133">
        <v>193</v>
      </c>
      <c r="N133">
        <v>10.8</v>
      </c>
      <c r="O133">
        <v>33.5</v>
      </c>
    </row>
    <row r="134" spans="1:15" x14ac:dyDescent="0.3">
      <c r="A134" t="s">
        <v>158</v>
      </c>
      <c r="B134">
        <v>21</v>
      </c>
      <c r="C134" t="s">
        <v>24</v>
      </c>
      <c r="D134" t="s">
        <v>17</v>
      </c>
      <c r="E134" t="s">
        <v>18</v>
      </c>
      <c r="F134">
        <v>9.59</v>
      </c>
      <c r="G134">
        <v>4.62</v>
      </c>
      <c r="H134">
        <v>4.97</v>
      </c>
      <c r="I134">
        <v>6.67</v>
      </c>
      <c r="J134">
        <v>1</v>
      </c>
      <c r="K134">
        <v>8.8000000000000007</v>
      </c>
      <c r="L134">
        <v>56.1</v>
      </c>
      <c r="M134">
        <v>152</v>
      </c>
      <c r="N134">
        <v>0</v>
      </c>
      <c r="O134">
        <v>6.5</v>
      </c>
    </row>
    <row r="135" spans="1:15" x14ac:dyDescent="0.3">
      <c r="A135" t="s">
        <v>159</v>
      </c>
      <c r="B135">
        <v>33</v>
      </c>
      <c r="C135" t="s">
        <v>24</v>
      </c>
      <c r="D135" t="s">
        <v>17</v>
      </c>
      <c r="E135" t="s">
        <v>22</v>
      </c>
      <c r="F135">
        <v>12.19</v>
      </c>
      <c r="G135">
        <v>2.56</v>
      </c>
      <c r="H135">
        <v>9.6300000000000008</v>
      </c>
      <c r="I135">
        <v>4.76</v>
      </c>
      <c r="J135">
        <v>1</v>
      </c>
      <c r="K135">
        <v>10</v>
      </c>
      <c r="L135">
        <v>39.4</v>
      </c>
      <c r="M135">
        <v>0</v>
      </c>
      <c r="N135">
        <v>11.1</v>
      </c>
      <c r="O135">
        <v>0.2</v>
      </c>
    </row>
    <row r="136" spans="1:15" x14ac:dyDescent="0.3">
      <c r="A136" t="s">
        <v>160</v>
      </c>
      <c r="B136">
        <v>22</v>
      </c>
      <c r="C136" t="s">
        <v>16</v>
      </c>
      <c r="D136" t="s">
        <v>29</v>
      </c>
      <c r="E136" t="s">
        <v>18</v>
      </c>
      <c r="F136">
        <v>6.09</v>
      </c>
      <c r="G136">
        <v>3.86</v>
      </c>
      <c r="H136">
        <v>2.23</v>
      </c>
      <c r="I136">
        <v>6.75</v>
      </c>
      <c r="J136">
        <v>1</v>
      </c>
      <c r="K136">
        <v>6.4</v>
      </c>
      <c r="L136">
        <v>64.099999999999994</v>
      </c>
      <c r="M136">
        <v>47</v>
      </c>
      <c r="N136">
        <v>15.9</v>
      </c>
      <c r="O136">
        <v>18.600000000000001</v>
      </c>
    </row>
    <row r="137" spans="1:15" x14ac:dyDescent="0.3">
      <c r="A137" t="s">
        <v>161</v>
      </c>
      <c r="B137">
        <v>42</v>
      </c>
      <c r="C137" t="s">
        <v>28</v>
      </c>
      <c r="D137" t="s">
        <v>31</v>
      </c>
      <c r="E137" t="s">
        <v>22</v>
      </c>
      <c r="F137">
        <v>5.87</v>
      </c>
      <c r="G137">
        <v>0.31</v>
      </c>
      <c r="H137">
        <v>5.56</v>
      </c>
      <c r="I137">
        <v>7.3</v>
      </c>
      <c r="J137">
        <v>1</v>
      </c>
      <c r="K137">
        <v>5.8</v>
      </c>
      <c r="L137">
        <v>68.8</v>
      </c>
      <c r="M137">
        <v>195</v>
      </c>
      <c r="N137">
        <v>9.6999999999999993</v>
      </c>
      <c r="O137">
        <v>43.9</v>
      </c>
    </row>
    <row r="138" spans="1:15" x14ac:dyDescent="0.3">
      <c r="A138" t="s">
        <v>162</v>
      </c>
      <c r="B138">
        <v>23</v>
      </c>
      <c r="C138" t="s">
        <v>24</v>
      </c>
      <c r="D138" t="s">
        <v>17</v>
      </c>
      <c r="E138" t="s">
        <v>18</v>
      </c>
      <c r="F138">
        <v>9.65</v>
      </c>
      <c r="G138">
        <v>3.25</v>
      </c>
      <c r="H138">
        <v>6.4</v>
      </c>
      <c r="I138">
        <v>6.68</v>
      </c>
      <c r="J138">
        <v>1</v>
      </c>
      <c r="K138">
        <v>10</v>
      </c>
      <c r="L138">
        <v>50.5</v>
      </c>
      <c r="M138">
        <v>107</v>
      </c>
      <c r="N138">
        <v>5.8</v>
      </c>
      <c r="O138">
        <v>4.7</v>
      </c>
    </row>
    <row r="139" spans="1:15" x14ac:dyDescent="0.3">
      <c r="A139" t="s">
        <v>163</v>
      </c>
      <c r="B139">
        <v>27</v>
      </c>
      <c r="C139" t="s">
        <v>16</v>
      </c>
      <c r="D139" t="s">
        <v>17</v>
      </c>
      <c r="E139" t="s">
        <v>22</v>
      </c>
      <c r="F139">
        <v>9.1300000000000008</v>
      </c>
      <c r="G139">
        <v>1.44</v>
      </c>
      <c r="H139">
        <v>7.69</v>
      </c>
      <c r="I139">
        <v>6.85</v>
      </c>
      <c r="J139">
        <v>1</v>
      </c>
      <c r="K139">
        <v>10</v>
      </c>
      <c r="L139">
        <v>34.4</v>
      </c>
      <c r="M139">
        <v>30</v>
      </c>
      <c r="N139">
        <v>18.399999999999999</v>
      </c>
      <c r="O139">
        <v>4.4000000000000004</v>
      </c>
    </row>
    <row r="140" spans="1:15" x14ac:dyDescent="0.3">
      <c r="A140" t="s">
        <v>164</v>
      </c>
      <c r="B140">
        <v>36</v>
      </c>
      <c r="C140" t="s">
        <v>16</v>
      </c>
      <c r="D140" t="s">
        <v>17</v>
      </c>
      <c r="E140" t="s">
        <v>20</v>
      </c>
      <c r="F140">
        <v>5.07</v>
      </c>
      <c r="G140">
        <v>1.21</v>
      </c>
      <c r="H140">
        <v>3.86</v>
      </c>
      <c r="I140">
        <v>8.59</v>
      </c>
      <c r="J140">
        <v>2</v>
      </c>
      <c r="K140">
        <v>5.2</v>
      </c>
      <c r="L140">
        <v>79.099999999999994</v>
      </c>
      <c r="M140">
        <v>86</v>
      </c>
      <c r="N140">
        <v>19.100000000000001</v>
      </c>
      <c r="O140">
        <v>45.7</v>
      </c>
    </row>
    <row r="141" spans="1:15" x14ac:dyDescent="0.3">
      <c r="A141" t="s">
        <v>165</v>
      </c>
      <c r="B141">
        <v>20</v>
      </c>
      <c r="C141" t="s">
        <v>16</v>
      </c>
      <c r="D141" t="s">
        <v>17</v>
      </c>
      <c r="E141" t="s">
        <v>18</v>
      </c>
      <c r="F141">
        <v>8.14</v>
      </c>
      <c r="G141">
        <v>1.22</v>
      </c>
      <c r="H141">
        <v>6.92</v>
      </c>
      <c r="I141">
        <v>8.1</v>
      </c>
      <c r="J141">
        <v>2</v>
      </c>
      <c r="K141">
        <v>8.5</v>
      </c>
      <c r="L141">
        <v>56.2</v>
      </c>
      <c r="M141">
        <v>0</v>
      </c>
      <c r="N141">
        <v>7.5</v>
      </c>
      <c r="O141">
        <v>22.3</v>
      </c>
    </row>
    <row r="142" spans="1:15" x14ac:dyDescent="0.3">
      <c r="A142" t="s">
        <v>166</v>
      </c>
      <c r="B142">
        <v>31</v>
      </c>
      <c r="C142" t="s">
        <v>16</v>
      </c>
      <c r="D142" t="s">
        <v>26</v>
      </c>
      <c r="E142" t="s">
        <v>20</v>
      </c>
      <c r="F142">
        <v>11.85</v>
      </c>
      <c r="G142">
        <v>1.91</v>
      </c>
      <c r="H142">
        <v>9.94</v>
      </c>
      <c r="I142">
        <v>6.5</v>
      </c>
      <c r="J142">
        <v>1</v>
      </c>
      <c r="K142">
        <v>10</v>
      </c>
      <c r="L142">
        <v>41.2</v>
      </c>
      <c r="M142">
        <v>81</v>
      </c>
      <c r="N142">
        <v>10.4</v>
      </c>
      <c r="O142">
        <v>2.5</v>
      </c>
    </row>
    <row r="143" spans="1:15" x14ac:dyDescent="0.3">
      <c r="A143" t="s">
        <v>167</v>
      </c>
      <c r="B143">
        <v>40</v>
      </c>
      <c r="C143" t="s">
        <v>16</v>
      </c>
      <c r="D143" t="s">
        <v>26</v>
      </c>
      <c r="E143" t="s">
        <v>18</v>
      </c>
      <c r="F143">
        <v>10.39</v>
      </c>
      <c r="G143">
        <v>1.58</v>
      </c>
      <c r="H143">
        <v>8.81</v>
      </c>
      <c r="I143">
        <v>7.82</v>
      </c>
      <c r="J143">
        <v>3</v>
      </c>
      <c r="K143">
        <v>6.8</v>
      </c>
      <c r="L143">
        <v>73.599999999999994</v>
      </c>
      <c r="M143">
        <v>255</v>
      </c>
      <c r="N143">
        <v>7.4</v>
      </c>
      <c r="O143">
        <v>50.3</v>
      </c>
    </row>
    <row r="144" spans="1:15" x14ac:dyDescent="0.3">
      <c r="A144" t="s">
        <v>168</v>
      </c>
      <c r="B144">
        <v>17</v>
      </c>
      <c r="C144" t="s">
        <v>16</v>
      </c>
      <c r="D144" t="s">
        <v>17</v>
      </c>
      <c r="E144" t="s">
        <v>20</v>
      </c>
      <c r="F144">
        <v>3.76</v>
      </c>
      <c r="G144">
        <v>0.78</v>
      </c>
      <c r="H144">
        <v>2.98</v>
      </c>
      <c r="I144">
        <v>7.99</v>
      </c>
      <c r="J144">
        <v>2</v>
      </c>
      <c r="K144">
        <v>2.9</v>
      </c>
      <c r="L144">
        <v>79.599999999999994</v>
      </c>
      <c r="M144">
        <v>185</v>
      </c>
      <c r="N144">
        <v>10</v>
      </c>
      <c r="O144">
        <v>60.1</v>
      </c>
    </row>
    <row r="145" spans="1:15" x14ac:dyDescent="0.3">
      <c r="A145" t="s">
        <v>169</v>
      </c>
      <c r="B145">
        <v>31</v>
      </c>
      <c r="C145" t="s">
        <v>16</v>
      </c>
      <c r="D145" t="s">
        <v>17</v>
      </c>
      <c r="E145" t="s">
        <v>20</v>
      </c>
      <c r="F145">
        <v>5.9</v>
      </c>
      <c r="G145">
        <v>0.34</v>
      </c>
      <c r="H145">
        <v>5.56</v>
      </c>
      <c r="I145">
        <v>7.58</v>
      </c>
      <c r="J145">
        <v>2</v>
      </c>
      <c r="K145">
        <v>5.5</v>
      </c>
      <c r="L145">
        <v>67.099999999999994</v>
      </c>
      <c r="M145">
        <v>276</v>
      </c>
      <c r="N145">
        <v>10.8</v>
      </c>
      <c r="O145">
        <v>49.3</v>
      </c>
    </row>
    <row r="146" spans="1:15" x14ac:dyDescent="0.3">
      <c r="A146" t="s">
        <v>170</v>
      </c>
      <c r="B146">
        <v>32</v>
      </c>
      <c r="C146" t="s">
        <v>16</v>
      </c>
      <c r="D146" t="s">
        <v>17</v>
      </c>
      <c r="E146" t="s">
        <v>22</v>
      </c>
      <c r="F146">
        <v>8.76</v>
      </c>
      <c r="G146">
        <v>1.86</v>
      </c>
      <c r="H146">
        <v>6.9</v>
      </c>
      <c r="I146">
        <v>7.83</v>
      </c>
      <c r="J146">
        <v>2</v>
      </c>
      <c r="K146">
        <v>6.2</v>
      </c>
      <c r="L146">
        <v>54.4</v>
      </c>
      <c r="M146">
        <v>168</v>
      </c>
      <c r="N146">
        <v>10</v>
      </c>
      <c r="O146">
        <v>30.2</v>
      </c>
    </row>
    <row r="147" spans="1:15" x14ac:dyDescent="0.3">
      <c r="A147" t="s">
        <v>171</v>
      </c>
      <c r="B147">
        <v>36</v>
      </c>
      <c r="C147" t="s">
        <v>24</v>
      </c>
      <c r="D147" t="s">
        <v>26</v>
      </c>
      <c r="E147" t="s">
        <v>22</v>
      </c>
      <c r="F147">
        <v>12.18</v>
      </c>
      <c r="G147">
        <v>1.91</v>
      </c>
      <c r="H147">
        <v>10.27</v>
      </c>
      <c r="I147">
        <v>6.69</v>
      </c>
      <c r="J147">
        <v>1</v>
      </c>
      <c r="K147">
        <v>10</v>
      </c>
      <c r="L147">
        <v>36.4</v>
      </c>
      <c r="M147">
        <v>160</v>
      </c>
      <c r="N147">
        <v>11.2</v>
      </c>
      <c r="O147">
        <v>0</v>
      </c>
    </row>
    <row r="148" spans="1:15" x14ac:dyDescent="0.3">
      <c r="A148" t="s">
        <v>172</v>
      </c>
      <c r="B148">
        <v>20</v>
      </c>
      <c r="C148" t="s">
        <v>16</v>
      </c>
      <c r="D148" t="s">
        <v>26</v>
      </c>
      <c r="E148" t="s">
        <v>20</v>
      </c>
      <c r="F148">
        <v>6.31</v>
      </c>
      <c r="G148">
        <v>0.54</v>
      </c>
      <c r="H148">
        <v>5.77</v>
      </c>
      <c r="I148">
        <v>9</v>
      </c>
      <c r="J148">
        <v>4</v>
      </c>
      <c r="K148">
        <v>2.7</v>
      </c>
      <c r="L148">
        <v>100</v>
      </c>
      <c r="M148">
        <v>253</v>
      </c>
      <c r="N148">
        <v>17.899999999999999</v>
      </c>
      <c r="O148">
        <v>97</v>
      </c>
    </row>
    <row r="149" spans="1:15" x14ac:dyDescent="0.3">
      <c r="A149" t="s">
        <v>173</v>
      </c>
      <c r="B149">
        <v>19</v>
      </c>
      <c r="C149" t="s">
        <v>24</v>
      </c>
      <c r="D149" t="s">
        <v>26</v>
      </c>
      <c r="E149" t="s">
        <v>18</v>
      </c>
      <c r="F149">
        <v>8.6999999999999993</v>
      </c>
      <c r="G149">
        <v>4.17</v>
      </c>
      <c r="H149">
        <v>4.53</v>
      </c>
      <c r="I149">
        <v>5.83</v>
      </c>
      <c r="J149">
        <v>1</v>
      </c>
      <c r="K149">
        <v>10</v>
      </c>
      <c r="L149">
        <v>44.2</v>
      </c>
      <c r="M149">
        <v>127</v>
      </c>
      <c r="N149">
        <v>0</v>
      </c>
      <c r="O149">
        <v>8</v>
      </c>
    </row>
    <row r="150" spans="1:15" x14ac:dyDescent="0.3">
      <c r="A150" t="s">
        <v>174</v>
      </c>
      <c r="B150">
        <v>34</v>
      </c>
      <c r="C150" t="s">
        <v>16</v>
      </c>
      <c r="D150" t="s">
        <v>31</v>
      </c>
      <c r="E150" t="s">
        <v>18</v>
      </c>
      <c r="F150">
        <v>7.18</v>
      </c>
      <c r="G150">
        <v>1.47</v>
      </c>
      <c r="H150">
        <v>5.71</v>
      </c>
      <c r="I150">
        <v>6.95</v>
      </c>
      <c r="J150">
        <v>1</v>
      </c>
      <c r="K150">
        <v>3.6</v>
      </c>
      <c r="L150">
        <v>64.8</v>
      </c>
      <c r="M150">
        <v>104</v>
      </c>
      <c r="N150">
        <v>8</v>
      </c>
      <c r="O150">
        <v>43.7</v>
      </c>
    </row>
    <row r="151" spans="1:15" x14ac:dyDescent="0.3">
      <c r="A151" t="s">
        <v>175</v>
      </c>
      <c r="B151">
        <v>32</v>
      </c>
      <c r="C151" t="s">
        <v>28</v>
      </c>
      <c r="D151" t="s">
        <v>17</v>
      </c>
      <c r="E151" t="s">
        <v>22</v>
      </c>
      <c r="F151">
        <v>9.11</v>
      </c>
      <c r="G151">
        <v>0.93</v>
      </c>
      <c r="H151">
        <v>8.18</v>
      </c>
      <c r="I151">
        <v>6.95</v>
      </c>
      <c r="J151">
        <v>1</v>
      </c>
      <c r="K151">
        <v>9</v>
      </c>
      <c r="L151">
        <v>45.4</v>
      </c>
      <c r="M151">
        <v>177</v>
      </c>
      <c r="N151">
        <v>0.7</v>
      </c>
      <c r="O151">
        <v>20.3</v>
      </c>
    </row>
    <row r="152" spans="1:15" x14ac:dyDescent="0.3">
      <c r="A152" t="s">
        <v>176</v>
      </c>
      <c r="B152">
        <v>32</v>
      </c>
      <c r="C152" t="s">
        <v>16</v>
      </c>
      <c r="D152" t="s">
        <v>17</v>
      </c>
      <c r="E152" t="s">
        <v>20</v>
      </c>
      <c r="F152">
        <v>7.47</v>
      </c>
      <c r="G152">
        <v>0.37</v>
      </c>
      <c r="H152">
        <v>7.1</v>
      </c>
      <c r="I152">
        <v>7.65</v>
      </c>
      <c r="J152">
        <v>1</v>
      </c>
      <c r="K152">
        <v>10</v>
      </c>
      <c r="L152">
        <v>37.9</v>
      </c>
      <c r="M152">
        <v>216</v>
      </c>
      <c r="N152">
        <v>15.5</v>
      </c>
      <c r="O152">
        <v>1.7</v>
      </c>
    </row>
    <row r="153" spans="1:15" x14ac:dyDescent="0.3">
      <c r="A153" t="s">
        <v>177</v>
      </c>
      <c r="B153">
        <v>32</v>
      </c>
      <c r="C153" t="s">
        <v>16</v>
      </c>
      <c r="D153" t="s">
        <v>17</v>
      </c>
      <c r="E153" t="s">
        <v>20</v>
      </c>
      <c r="F153">
        <v>8.9700000000000006</v>
      </c>
      <c r="G153">
        <v>1.93</v>
      </c>
      <c r="H153">
        <v>7.04</v>
      </c>
      <c r="I153">
        <v>8.09</v>
      </c>
      <c r="J153">
        <v>2</v>
      </c>
      <c r="K153">
        <v>8.1999999999999993</v>
      </c>
      <c r="L153">
        <v>51</v>
      </c>
      <c r="M153">
        <v>72</v>
      </c>
      <c r="N153">
        <v>6.7</v>
      </c>
      <c r="O153">
        <v>29.9</v>
      </c>
    </row>
    <row r="154" spans="1:15" x14ac:dyDescent="0.3">
      <c r="A154" t="s">
        <v>178</v>
      </c>
      <c r="B154">
        <v>24</v>
      </c>
      <c r="C154" t="s">
        <v>24</v>
      </c>
      <c r="D154" t="s">
        <v>26</v>
      </c>
      <c r="E154" t="s">
        <v>20</v>
      </c>
      <c r="F154">
        <v>7.98</v>
      </c>
      <c r="G154">
        <v>0.7</v>
      </c>
      <c r="H154">
        <v>7.28</v>
      </c>
      <c r="I154">
        <v>7.12</v>
      </c>
      <c r="J154">
        <v>1</v>
      </c>
      <c r="K154">
        <v>9.5</v>
      </c>
      <c r="L154">
        <v>50.4</v>
      </c>
      <c r="M154">
        <v>57</v>
      </c>
      <c r="N154">
        <v>2.2999999999999998</v>
      </c>
      <c r="O154">
        <v>7.9</v>
      </c>
    </row>
    <row r="155" spans="1:15" x14ac:dyDescent="0.3">
      <c r="A155" t="s">
        <v>179</v>
      </c>
      <c r="B155">
        <v>31</v>
      </c>
      <c r="C155" t="s">
        <v>24</v>
      </c>
      <c r="D155" t="s">
        <v>37</v>
      </c>
      <c r="E155" t="s">
        <v>22</v>
      </c>
      <c r="F155">
        <v>7.22</v>
      </c>
      <c r="G155">
        <v>1.48</v>
      </c>
      <c r="H155">
        <v>5.74</v>
      </c>
      <c r="I155">
        <v>6.19</v>
      </c>
      <c r="J155">
        <v>1</v>
      </c>
      <c r="K155">
        <v>7.9</v>
      </c>
      <c r="L155">
        <v>48.5</v>
      </c>
      <c r="M155">
        <v>125</v>
      </c>
      <c r="N155">
        <v>14.3</v>
      </c>
      <c r="O155">
        <v>9.6</v>
      </c>
    </row>
    <row r="156" spans="1:15" x14ac:dyDescent="0.3">
      <c r="A156" t="s">
        <v>180</v>
      </c>
      <c r="B156">
        <v>32</v>
      </c>
      <c r="C156" t="s">
        <v>24</v>
      </c>
      <c r="D156" t="s">
        <v>17</v>
      </c>
      <c r="E156" t="s">
        <v>20</v>
      </c>
      <c r="F156">
        <v>7.16</v>
      </c>
      <c r="G156">
        <v>1.04</v>
      </c>
      <c r="H156">
        <v>6.12</v>
      </c>
      <c r="I156">
        <v>8.02</v>
      </c>
      <c r="J156">
        <v>2</v>
      </c>
      <c r="K156">
        <v>5.5</v>
      </c>
      <c r="L156">
        <v>77.900000000000006</v>
      </c>
      <c r="M156">
        <v>174</v>
      </c>
      <c r="N156">
        <v>15.1</v>
      </c>
      <c r="O156">
        <v>59.8</v>
      </c>
    </row>
    <row r="157" spans="1:15" x14ac:dyDescent="0.3">
      <c r="A157" t="s">
        <v>181</v>
      </c>
      <c r="B157">
        <v>24</v>
      </c>
      <c r="C157" t="s">
        <v>16</v>
      </c>
      <c r="D157" t="s">
        <v>26</v>
      </c>
      <c r="E157" t="s">
        <v>18</v>
      </c>
      <c r="F157">
        <v>16.29</v>
      </c>
      <c r="G157">
        <v>5.9</v>
      </c>
      <c r="H157">
        <v>10.39</v>
      </c>
      <c r="I157">
        <v>6.5</v>
      </c>
      <c r="J157">
        <v>1</v>
      </c>
      <c r="K157">
        <v>10</v>
      </c>
      <c r="L157">
        <v>33.1</v>
      </c>
      <c r="M157">
        <v>113</v>
      </c>
      <c r="N157">
        <v>7.3</v>
      </c>
      <c r="O157">
        <v>4.8</v>
      </c>
    </row>
    <row r="158" spans="1:15" x14ac:dyDescent="0.3">
      <c r="A158" t="s">
        <v>182</v>
      </c>
      <c r="B158">
        <v>44</v>
      </c>
      <c r="C158" t="s">
        <v>16</v>
      </c>
      <c r="D158" t="s">
        <v>17</v>
      </c>
      <c r="E158" t="s">
        <v>22</v>
      </c>
      <c r="F158">
        <v>9.52</v>
      </c>
      <c r="G158">
        <v>0.48</v>
      </c>
      <c r="H158">
        <v>9.0399999999999991</v>
      </c>
      <c r="I158">
        <v>5.56</v>
      </c>
      <c r="J158">
        <v>1</v>
      </c>
      <c r="K158">
        <v>9.9</v>
      </c>
      <c r="L158">
        <v>44.6</v>
      </c>
      <c r="M158">
        <v>8</v>
      </c>
      <c r="N158">
        <v>9.9</v>
      </c>
      <c r="O158">
        <v>0.6</v>
      </c>
    </row>
    <row r="159" spans="1:15" x14ac:dyDescent="0.3">
      <c r="A159" t="s">
        <v>183</v>
      </c>
      <c r="B159">
        <v>33</v>
      </c>
      <c r="C159" t="s">
        <v>24</v>
      </c>
      <c r="D159" t="s">
        <v>29</v>
      </c>
      <c r="E159" t="s">
        <v>18</v>
      </c>
      <c r="F159">
        <v>12.39</v>
      </c>
      <c r="G159">
        <v>3.06</v>
      </c>
      <c r="H159">
        <v>9.33</v>
      </c>
      <c r="I159">
        <v>6.57</v>
      </c>
      <c r="J159">
        <v>1</v>
      </c>
      <c r="K159">
        <v>10</v>
      </c>
      <c r="L159">
        <v>37.700000000000003</v>
      </c>
      <c r="M159">
        <v>219</v>
      </c>
      <c r="N159">
        <v>9.1999999999999993</v>
      </c>
      <c r="O159">
        <v>7.7</v>
      </c>
    </row>
    <row r="160" spans="1:15" x14ac:dyDescent="0.3">
      <c r="A160" t="s">
        <v>184</v>
      </c>
      <c r="B160">
        <v>20</v>
      </c>
      <c r="C160" t="s">
        <v>24</v>
      </c>
      <c r="D160" t="s">
        <v>37</v>
      </c>
      <c r="E160" t="s">
        <v>18</v>
      </c>
      <c r="F160">
        <v>8.8000000000000007</v>
      </c>
      <c r="G160">
        <v>4.08</v>
      </c>
      <c r="H160">
        <v>4.72</v>
      </c>
      <c r="I160">
        <v>5.71</v>
      </c>
      <c r="J160">
        <v>1</v>
      </c>
      <c r="K160">
        <v>7.8</v>
      </c>
      <c r="L160">
        <v>58.2</v>
      </c>
      <c r="M160">
        <v>55</v>
      </c>
      <c r="N160">
        <v>17.8</v>
      </c>
      <c r="O160">
        <v>16</v>
      </c>
    </row>
    <row r="161" spans="1:15" x14ac:dyDescent="0.3">
      <c r="A161" t="s">
        <v>185</v>
      </c>
      <c r="B161">
        <v>35</v>
      </c>
      <c r="C161" t="s">
        <v>24</v>
      </c>
      <c r="D161" t="s">
        <v>17</v>
      </c>
      <c r="E161" t="s">
        <v>22</v>
      </c>
      <c r="F161">
        <v>8.99</v>
      </c>
      <c r="G161">
        <v>0.51</v>
      </c>
      <c r="H161">
        <v>8.48</v>
      </c>
      <c r="I161">
        <v>6.57</v>
      </c>
      <c r="J161">
        <v>1</v>
      </c>
      <c r="K161">
        <v>8.4</v>
      </c>
      <c r="L161">
        <v>55.6</v>
      </c>
      <c r="M161">
        <v>88</v>
      </c>
      <c r="N161">
        <v>4.0999999999999996</v>
      </c>
      <c r="O161">
        <v>20.2</v>
      </c>
    </row>
    <row r="162" spans="1:15" x14ac:dyDescent="0.3">
      <c r="A162" t="s">
        <v>186</v>
      </c>
      <c r="B162">
        <v>22</v>
      </c>
      <c r="C162" t="s">
        <v>24</v>
      </c>
      <c r="D162" t="s">
        <v>17</v>
      </c>
      <c r="E162" t="s">
        <v>22</v>
      </c>
      <c r="F162">
        <v>9.69</v>
      </c>
      <c r="G162">
        <v>1.1599999999999999</v>
      </c>
      <c r="H162">
        <v>8.5299999999999994</v>
      </c>
      <c r="I162">
        <v>6.14</v>
      </c>
      <c r="J162">
        <v>1</v>
      </c>
      <c r="K162">
        <v>10</v>
      </c>
      <c r="L162">
        <v>45.5</v>
      </c>
      <c r="M162">
        <v>33</v>
      </c>
      <c r="N162">
        <v>10.5</v>
      </c>
      <c r="O162">
        <v>0</v>
      </c>
    </row>
    <row r="163" spans="1:15" x14ac:dyDescent="0.3">
      <c r="A163" t="s">
        <v>187</v>
      </c>
      <c r="B163">
        <v>36</v>
      </c>
      <c r="C163" t="s">
        <v>16</v>
      </c>
      <c r="D163" t="s">
        <v>26</v>
      </c>
      <c r="E163" t="s">
        <v>22</v>
      </c>
      <c r="F163">
        <v>9.75</v>
      </c>
      <c r="G163">
        <v>0.49</v>
      </c>
      <c r="H163">
        <v>9.26</v>
      </c>
      <c r="I163">
        <v>7.64</v>
      </c>
      <c r="J163">
        <v>2</v>
      </c>
      <c r="K163">
        <v>10</v>
      </c>
      <c r="L163">
        <v>52.8</v>
      </c>
      <c r="M163">
        <v>291</v>
      </c>
      <c r="N163">
        <v>6.1</v>
      </c>
      <c r="O163">
        <v>13</v>
      </c>
    </row>
    <row r="164" spans="1:15" x14ac:dyDescent="0.3">
      <c r="A164" t="s">
        <v>188</v>
      </c>
      <c r="B164">
        <v>39</v>
      </c>
      <c r="C164" t="s">
        <v>24</v>
      </c>
      <c r="D164" t="s">
        <v>31</v>
      </c>
      <c r="E164" t="s">
        <v>18</v>
      </c>
      <c r="F164">
        <v>12.67</v>
      </c>
      <c r="G164">
        <v>6.76</v>
      </c>
      <c r="H164">
        <v>5.91</v>
      </c>
      <c r="I164">
        <v>6.68</v>
      </c>
      <c r="J164">
        <v>2</v>
      </c>
      <c r="K164">
        <v>10</v>
      </c>
      <c r="L164">
        <v>43.7</v>
      </c>
      <c r="M164">
        <v>103</v>
      </c>
      <c r="N164">
        <v>2.4</v>
      </c>
      <c r="O164">
        <v>16.7</v>
      </c>
    </row>
    <row r="165" spans="1:15" x14ac:dyDescent="0.3">
      <c r="A165" t="s">
        <v>189</v>
      </c>
      <c r="B165">
        <v>23</v>
      </c>
      <c r="C165" t="s">
        <v>16</v>
      </c>
      <c r="D165" t="s">
        <v>26</v>
      </c>
      <c r="E165" t="s">
        <v>18</v>
      </c>
      <c r="F165">
        <v>12.06</v>
      </c>
      <c r="G165">
        <v>6.27</v>
      </c>
      <c r="H165">
        <v>5.79</v>
      </c>
      <c r="I165">
        <v>5.49</v>
      </c>
      <c r="J165">
        <v>1</v>
      </c>
      <c r="K165">
        <v>10</v>
      </c>
      <c r="L165">
        <v>43.2</v>
      </c>
      <c r="M165">
        <v>23</v>
      </c>
      <c r="N165">
        <v>4.0999999999999996</v>
      </c>
      <c r="O165">
        <v>0</v>
      </c>
    </row>
    <row r="166" spans="1:15" x14ac:dyDescent="0.3">
      <c r="A166" t="s">
        <v>190</v>
      </c>
      <c r="B166">
        <v>37</v>
      </c>
      <c r="C166" t="s">
        <v>16</v>
      </c>
      <c r="D166" t="s">
        <v>37</v>
      </c>
      <c r="E166" t="s">
        <v>18</v>
      </c>
      <c r="F166">
        <v>7.64</v>
      </c>
      <c r="G166">
        <v>3.89</v>
      </c>
      <c r="H166">
        <v>3.75</v>
      </c>
      <c r="I166">
        <v>8.0299999999999994</v>
      </c>
      <c r="J166">
        <v>2</v>
      </c>
      <c r="K166">
        <v>5.0999999999999996</v>
      </c>
      <c r="L166">
        <v>70.099999999999994</v>
      </c>
      <c r="M166">
        <v>176</v>
      </c>
      <c r="N166">
        <v>13.7</v>
      </c>
      <c r="O166">
        <v>48.9</v>
      </c>
    </row>
    <row r="167" spans="1:15" x14ac:dyDescent="0.3">
      <c r="A167" t="s">
        <v>191</v>
      </c>
      <c r="B167">
        <v>33</v>
      </c>
      <c r="C167" t="s">
        <v>16</v>
      </c>
      <c r="D167" t="s">
        <v>17</v>
      </c>
      <c r="E167" t="s">
        <v>22</v>
      </c>
      <c r="F167">
        <v>10.26</v>
      </c>
      <c r="G167">
        <v>1.07</v>
      </c>
      <c r="H167">
        <v>9.19</v>
      </c>
      <c r="I167">
        <v>5.74</v>
      </c>
      <c r="J167">
        <v>1</v>
      </c>
      <c r="K167">
        <v>10</v>
      </c>
      <c r="L167">
        <v>42.6</v>
      </c>
      <c r="M167">
        <v>152</v>
      </c>
      <c r="N167">
        <v>11.8</v>
      </c>
      <c r="O167">
        <v>0</v>
      </c>
    </row>
    <row r="168" spans="1:15" x14ac:dyDescent="0.3">
      <c r="A168" t="s">
        <v>192</v>
      </c>
      <c r="B168">
        <v>36</v>
      </c>
      <c r="C168" t="s">
        <v>16</v>
      </c>
      <c r="D168" t="s">
        <v>17</v>
      </c>
      <c r="E168" t="s">
        <v>18</v>
      </c>
      <c r="F168">
        <v>5.57</v>
      </c>
      <c r="G168">
        <v>1.06</v>
      </c>
      <c r="H168">
        <v>4.51</v>
      </c>
      <c r="I168">
        <v>7.89</v>
      </c>
      <c r="J168">
        <v>3</v>
      </c>
      <c r="K168">
        <v>6.7</v>
      </c>
      <c r="L168">
        <v>73.2</v>
      </c>
      <c r="M168">
        <v>114</v>
      </c>
      <c r="N168">
        <v>15.4</v>
      </c>
      <c r="O168">
        <v>58.5</v>
      </c>
    </row>
    <row r="169" spans="1:15" x14ac:dyDescent="0.3">
      <c r="A169" t="s">
        <v>193</v>
      </c>
      <c r="B169">
        <v>45</v>
      </c>
      <c r="C169" t="s">
        <v>16</v>
      </c>
      <c r="D169" t="s">
        <v>17</v>
      </c>
      <c r="E169" t="s">
        <v>18</v>
      </c>
      <c r="F169">
        <v>8.32</v>
      </c>
      <c r="G169">
        <v>2.99</v>
      </c>
      <c r="H169">
        <v>5.33</v>
      </c>
      <c r="I169">
        <v>6.65</v>
      </c>
      <c r="J169">
        <v>1</v>
      </c>
      <c r="K169">
        <v>8.3000000000000007</v>
      </c>
      <c r="L169">
        <v>49.6</v>
      </c>
      <c r="M169">
        <v>174</v>
      </c>
      <c r="N169">
        <v>10.1</v>
      </c>
      <c r="O169">
        <v>22.6</v>
      </c>
    </row>
    <row r="170" spans="1:15" x14ac:dyDescent="0.3">
      <c r="A170" t="s">
        <v>194</v>
      </c>
      <c r="B170">
        <v>28</v>
      </c>
      <c r="C170" t="s">
        <v>16</v>
      </c>
      <c r="D170" t="s">
        <v>26</v>
      </c>
      <c r="E170" t="s">
        <v>22</v>
      </c>
      <c r="F170">
        <v>10.63</v>
      </c>
      <c r="G170">
        <v>1.0900000000000001</v>
      </c>
      <c r="H170">
        <v>9.5399999999999991</v>
      </c>
      <c r="I170">
        <v>6.49</v>
      </c>
      <c r="J170">
        <v>1</v>
      </c>
      <c r="K170">
        <v>6.9</v>
      </c>
      <c r="L170">
        <v>50.3</v>
      </c>
      <c r="M170">
        <v>35</v>
      </c>
      <c r="N170">
        <v>9.4</v>
      </c>
      <c r="O170">
        <v>18</v>
      </c>
    </row>
    <row r="171" spans="1:15" x14ac:dyDescent="0.3">
      <c r="A171" t="s">
        <v>195</v>
      </c>
      <c r="B171">
        <v>23</v>
      </c>
      <c r="C171" t="s">
        <v>24</v>
      </c>
      <c r="D171" t="s">
        <v>26</v>
      </c>
      <c r="E171" t="s">
        <v>22</v>
      </c>
      <c r="F171">
        <v>11.09</v>
      </c>
      <c r="G171">
        <v>1.18</v>
      </c>
      <c r="H171">
        <v>9.91</v>
      </c>
      <c r="I171">
        <v>7.07</v>
      </c>
      <c r="J171">
        <v>1</v>
      </c>
      <c r="K171">
        <v>10</v>
      </c>
      <c r="L171">
        <v>44.2</v>
      </c>
      <c r="M171">
        <v>53</v>
      </c>
      <c r="N171">
        <v>5.5</v>
      </c>
      <c r="O171">
        <v>0</v>
      </c>
    </row>
    <row r="172" spans="1:15" x14ac:dyDescent="0.3">
      <c r="A172" t="s">
        <v>196</v>
      </c>
      <c r="B172">
        <v>22</v>
      </c>
      <c r="C172" t="s">
        <v>16</v>
      </c>
      <c r="D172" t="s">
        <v>26</v>
      </c>
      <c r="E172" t="s">
        <v>22</v>
      </c>
      <c r="F172">
        <v>6.55</v>
      </c>
      <c r="G172">
        <v>0.33</v>
      </c>
      <c r="H172">
        <v>6.22</v>
      </c>
      <c r="I172">
        <v>7.75</v>
      </c>
      <c r="J172">
        <v>1</v>
      </c>
      <c r="K172">
        <v>8.6999999999999993</v>
      </c>
      <c r="L172">
        <v>61.2</v>
      </c>
      <c r="M172">
        <v>0</v>
      </c>
      <c r="N172">
        <v>2.6</v>
      </c>
      <c r="O172">
        <v>19.899999999999999</v>
      </c>
    </row>
    <row r="173" spans="1:15" x14ac:dyDescent="0.3">
      <c r="A173" t="s">
        <v>197</v>
      </c>
      <c r="B173">
        <v>23</v>
      </c>
      <c r="C173" t="s">
        <v>24</v>
      </c>
      <c r="D173" t="s">
        <v>26</v>
      </c>
      <c r="E173" t="s">
        <v>18</v>
      </c>
      <c r="F173">
        <v>10.33</v>
      </c>
      <c r="G173">
        <v>4.76</v>
      </c>
      <c r="H173">
        <v>5.57</v>
      </c>
      <c r="I173">
        <v>7.85</v>
      </c>
      <c r="J173">
        <v>1</v>
      </c>
      <c r="K173">
        <v>7.9</v>
      </c>
      <c r="L173">
        <v>57.9</v>
      </c>
      <c r="M173">
        <v>0</v>
      </c>
      <c r="N173">
        <v>5.2</v>
      </c>
      <c r="O173">
        <v>28.3</v>
      </c>
    </row>
    <row r="174" spans="1:15" x14ac:dyDescent="0.3">
      <c r="A174" t="s">
        <v>198</v>
      </c>
      <c r="B174">
        <v>29</v>
      </c>
      <c r="C174" t="s">
        <v>16</v>
      </c>
      <c r="D174" t="s">
        <v>17</v>
      </c>
      <c r="E174" t="s">
        <v>22</v>
      </c>
      <c r="F174">
        <v>9.98</v>
      </c>
      <c r="G174">
        <v>1.34</v>
      </c>
      <c r="H174">
        <v>8.64</v>
      </c>
      <c r="I174">
        <v>6.83</v>
      </c>
      <c r="J174">
        <v>1</v>
      </c>
      <c r="K174">
        <v>10</v>
      </c>
      <c r="L174">
        <v>35.5</v>
      </c>
      <c r="M174">
        <v>224</v>
      </c>
      <c r="N174">
        <v>10</v>
      </c>
      <c r="O174">
        <v>8.3000000000000007</v>
      </c>
    </row>
    <row r="175" spans="1:15" x14ac:dyDescent="0.3">
      <c r="A175" t="s">
        <v>199</v>
      </c>
      <c r="B175">
        <v>32</v>
      </c>
      <c r="C175" t="s">
        <v>16</v>
      </c>
      <c r="D175" t="s">
        <v>17</v>
      </c>
      <c r="E175" t="s">
        <v>20</v>
      </c>
      <c r="F175">
        <v>7.99</v>
      </c>
      <c r="G175">
        <v>0.4</v>
      </c>
      <c r="H175">
        <v>7.59</v>
      </c>
      <c r="I175">
        <v>7.47</v>
      </c>
      <c r="J175">
        <v>1</v>
      </c>
      <c r="K175">
        <v>9.1</v>
      </c>
      <c r="L175">
        <v>57.4</v>
      </c>
      <c r="M175">
        <v>226</v>
      </c>
      <c r="N175">
        <v>9.6</v>
      </c>
      <c r="O175">
        <v>28.9</v>
      </c>
    </row>
    <row r="176" spans="1:15" x14ac:dyDescent="0.3">
      <c r="A176" t="s">
        <v>200</v>
      </c>
      <c r="B176">
        <v>32</v>
      </c>
      <c r="C176" t="s">
        <v>24</v>
      </c>
      <c r="D176" t="s">
        <v>26</v>
      </c>
      <c r="E176" t="s">
        <v>18</v>
      </c>
      <c r="F176">
        <v>11.22</v>
      </c>
      <c r="G176">
        <v>3.89</v>
      </c>
      <c r="H176">
        <v>7.33</v>
      </c>
      <c r="I176">
        <v>6.39</v>
      </c>
      <c r="J176">
        <v>1</v>
      </c>
      <c r="K176">
        <v>10</v>
      </c>
      <c r="L176">
        <v>39.299999999999997</v>
      </c>
      <c r="M176">
        <v>96</v>
      </c>
      <c r="N176">
        <v>7.2</v>
      </c>
      <c r="O176">
        <v>0</v>
      </c>
    </row>
    <row r="177" spans="1:15" x14ac:dyDescent="0.3">
      <c r="A177" t="s">
        <v>201</v>
      </c>
      <c r="B177">
        <v>36</v>
      </c>
      <c r="C177" t="s">
        <v>16</v>
      </c>
      <c r="D177" t="s">
        <v>37</v>
      </c>
      <c r="E177" t="s">
        <v>22</v>
      </c>
      <c r="F177">
        <v>4.0999999999999996</v>
      </c>
      <c r="G177">
        <v>0.21</v>
      </c>
      <c r="H177">
        <v>3.89</v>
      </c>
      <c r="I177">
        <v>7.99</v>
      </c>
      <c r="J177">
        <v>1</v>
      </c>
      <c r="K177">
        <v>4.0999999999999996</v>
      </c>
      <c r="L177">
        <v>79.099999999999994</v>
      </c>
      <c r="M177">
        <v>253</v>
      </c>
      <c r="N177">
        <v>7.8</v>
      </c>
      <c r="O177">
        <v>45.3</v>
      </c>
    </row>
    <row r="178" spans="1:15" x14ac:dyDescent="0.3">
      <c r="A178" t="s">
        <v>202</v>
      </c>
      <c r="B178">
        <v>30</v>
      </c>
      <c r="C178" t="s">
        <v>16</v>
      </c>
      <c r="D178" t="s">
        <v>29</v>
      </c>
      <c r="E178" t="s">
        <v>18</v>
      </c>
      <c r="F178">
        <v>10.48</v>
      </c>
      <c r="G178">
        <v>5.65</v>
      </c>
      <c r="H178">
        <v>4.83</v>
      </c>
      <c r="I178">
        <v>7.18</v>
      </c>
      <c r="J178">
        <v>1</v>
      </c>
      <c r="K178">
        <v>10</v>
      </c>
      <c r="L178">
        <v>36.799999999999997</v>
      </c>
      <c r="M178">
        <v>84</v>
      </c>
      <c r="N178">
        <v>23.9</v>
      </c>
      <c r="O178">
        <v>0</v>
      </c>
    </row>
    <row r="179" spans="1:15" x14ac:dyDescent="0.3">
      <c r="A179" t="s">
        <v>203</v>
      </c>
      <c r="B179">
        <v>41</v>
      </c>
      <c r="C179" t="s">
        <v>16</v>
      </c>
      <c r="D179" t="s">
        <v>37</v>
      </c>
      <c r="E179" t="s">
        <v>18</v>
      </c>
      <c r="F179">
        <v>8.57</v>
      </c>
      <c r="G179">
        <v>1.57</v>
      </c>
      <c r="H179">
        <v>7</v>
      </c>
      <c r="I179">
        <v>7.15</v>
      </c>
      <c r="J179">
        <v>1</v>
      </c>
      <c r="K179">
        <v>8.3000000000000007</v>
      </c>
      <c r="L179">
        <v>52.8</v>
      </c>
      <c r="M179">
        <v>95</v>
      </c>
      <c r="N179">
        <v>10.7</v>
      </c>
      <c r="O179">
        <v>17.399999999999999</v>
      </c>
    </row>
    <row r="180" spans="1:15" x14ac:dyDescent="0.3">
      <c r="A180" t="s">
        <v>204</v>
      </c>
      <c r="B180">
        <v>27</v>
      </c>
      <c r="C180" t="s">
        <v>16</v>
      </c>
      <c r="D180" t="s">
        <v>31</v>
      </c>
      <c r="E180" t="s">
        <v>18</v>
      </c>
      <c r="F180">
        <v>8.16</v>
      </c>
      <c r="G180">
        <v>2.48</v>
      </c>
      <c r="H180">
        <v>5.68</v>
      </c>
      <c r="I180">
        <v>5.7</v>
      </c>
      <c r="J180">
        <v>1</v>
      </c>
      <c r="K180">
        <v>6.3</v>
      </c>
      <c r="L180">
        <v>62.4</v>
      </c>
      <c r="M180">
        <v>111</v>
      </c>
      <c r="N180">
        <v>11.1</v>
      </c>
      <c r="O180">
        <v>30</v>
      </c>
    </row>
    <row r="181" spans="1:15" x14ac:dyDescent="0.3">
      <c r="A181" t="s">
        <v>205</v>
      </c>
      <c r="B181">
        <v>51</v>
      </c>
      <c r="C181" t="s">
        <v>28</v>
      </c>
      <c r="D181" t="s">
        <v>26</v>
      </c>
      <c r="E181" t="s">
        <v>18</v>
      </c>
      <c r="F181">
        <v>16.36</v>
      </c>
      <c r="G181">
        <v>3.01</v>
      </c>
      <c r="H181">
        <v>13.35</v>
      </c>
      <c r="I181">
        <v>6.42</v>
      </c>
      <c r="J181">
        <v>1</v>
      </c>
      <c r="K181">
        <v>10</v>
      </c>
      <c r="L181">
        <v>24.6</v>
      </c>
      <c r="M181">
        <v>62</v>
      </c>
      <c r="N181">
        <v>5.5</v>
      </c>
      <c r="O181">
        <v>0</v>
      </c>
    </row>
    <row r="182" spans="1:15" x14ac:dyDescent="0.3">
      <c r="A182" t="s">
        <v>206</v>
      </c>
      <c r="B182">
        <v>35</v>
      </c>
      <c r="C182" t="s">
        <v>16</v>
      </c>
      <c r="D182" t="s">
        <v>17</v>
      </c>
      <c r="E182" t="s">
        <v>22</v>
      </c>
      <c r="F182">
        <v>4.5599999999999996</v>
      </c>
      <c r="G182">
        <v>0.56999999999999995</v>
      </c>
      <c r="H182">
        <v>3.99</v>
      </c>
      <c r="I182">
        <v>8.06</v>
      </c>
      <c r="J182">
        <v>2</v>
      </c>
      <c r="K182">
        <v>6.3</v>
      </c>
      <c r="L182">
        <v>75.599999999999994</v>
      </c>
      <c r="M182">
        <v>118</v>
      </c>
      <c r="N182">
        <v>9.6</v>
      </c>
      <c r="O182">
        <v>47.3</v>
      </c>
    </row>
    <row r="183" spans="1:15" x14ac:dyDescent="0.3">
      <c r="A183" t="s">
        <v>207</v>
      </c>
      <c r="B183">
        <v>23</v>
      </c>
      <c r="C183" t="s">
        <v>24</v>
      </c>
      <c r="D183" t="s">
        <v>17</v>
      </c>
      <c r="E183" t="s">
        <v>22</v>
      </c>
      <c r="F183">
        <v>9.8800000000000008</v>
      </c>
      <c r="G183">
        <v>1.74</v>
      </c>
      <c r="H183">
        <v>8.14</v>
      </c>
      <c r="I183">
        <v>6.3</v>
      </c>
      <c r="J183">
        <v>1</v>
      </c>
      <c r="K183">
        <v>10</v>
      </c>
      <c r="L183">
        <v>51.3</v>
      </c>
      <c r="M183">
        <v>175</v>
      </c>
      <c r="N183">
        <v>10.6</v>
      </c>
      <c r="O183">
        <v>15</v>
      </c>
    </row>
    <row r="184" spans="1:15" x14ac:dyDescent="0.3">
      <c r="A184" t="s">
        <v>208</v>
      </c>
      <c r="B184">
        <v>21</v>
      </c>
      <c r="C184" t="s">
        <v>16</v>
      </c>
      <c r="D184" t="s">
        <v>17</v>
      </c>
      <c r="E184" t="s">
        <v>22</v>
      </c>
      <c r="F184">
        <v>7.35</v>
      </c>
      <c r="G184">
        <v>0.94</v>
      </c>
      <c r="H184">
        <v>6.41</v>
      </c>
      <c r="I184">
        <v>6.18</v>
      </c>
      <c r="J184">
        <v>1</v>
      </c>
      <c r="K184">
        <v>8</v>
      </c>
      <c r="L184">
        <v>53.9</v>
      </c>
      <c r="M184">
        <v>120</v>
      </c>
      <c r="N184">
        <v>10.199999999999999</v>
      </c>
      <c r="O184">
        <v>8.1999999999999993</v>
      </c>
    </row>
    <row r="185" spans="1:15" x14ac:dyDescent="0.3">
      <c r="A185" t="s">
        <v>209</v>
      </c>
      <c r="B185">
        <v>33</v>
      </c>
      <c r="C185" t="s">
        <v>24</v>
      </c>
      <c r="D185" t="s">
        <v>26</v>
      </c>
      <c r="E185" t="s">
        <v>20</v>
      </c>
      <c r="F185">
        <v>6.92</v>
      </c>
      <c r="G185">
        <v>0.5</v>
      </c>
      <c r="H185">
        <v>6.42</v>
      </c>
      <c r="I185">
        <v>8.57</v>
      </c>
      <c r="J185">
        <v>2</v>
      </c>
      <c r="K185">
        <v>5.7</v>
      </c>
      <c r="L185">
        <v>79</v>
      </c>
      <c r="M185">
        <v>168</v>
      </c>
      <c r="N185">
        <v>0</v>
      </c>
      <c r="O185">
        <v>44.5</v>
      </c>
    </row>
    <row r="186" spans="1:15" x14ac:dyDescent="0.3">
      <c r="A186" t="s">
        <v>210</v>
      </c>
      <c r="B186">
        <v>28</v>
      </c>
      <c r="C186" t="s">
        <v>24</v>
      </c>
      <c r="D186" t="s">
        <v>29</v>
      </c>
      <c r="E186" t="s">
        <v>20</v>
      </c>
      <c r="F186">
        <v>7.05</v>
      </c>
      <c r="G186">
        <v>0.35</v>
      </c>
      <c r="H186">
        <v>6.7</v>
      </c>
      <c r="I186">
        <v>7.72</v>
      </c>
      <c r="J186">
        <v>1</v>
      </c>
      <c r="K186">
        <v>6.8</v>
      </c>
      <c r="L186">
        <v>59.1</v>
      </c>
      <c r="M186">
        <v>187</v>
      </c>
      <c r="N186">
        <v>0</v>
      </c>
      <c r="O186">
        <v>32</v>
      </c>
    </row>
    <row r="187" spans="1:15" x14ac:dyDescent="0.3">
      <c r="A187" t="s">
        <v>211</v>
      </c>
      <c r="B187">
        <v>35</v>
      </c>
      <c r="C187" t="s">
        <v>24</v>
      </c>
      <c r="D187" t="s">
        <v>26</v>
      </c>
      <c r="E187" t="s">
        <v>22</v>
      </c>
      <c r="F187">
        <v>12.92</v>
      </c>
      <c r="G187">
        <v>2.5099999999999998</v>
      </c>
      <c r="H187">
        <v>10.41</v>
      </c>
      <c r="I187">
        <v>6.33</v>
      </c>
      <c r="J187">
        <v>1</v>
      </c>
      <c r="K187">
        <v>10</v>
      </c>
      <c r="L187">
        <v>43.7</v>
      </c>
      <c r="M187">
        <v>110</v>
      </c>
      <c r="N187">
        <v>1.8</v>
      </c>
      <c r="O187">
        <v>0.2</v>
      </c>
    </row>
    <row r="188" spans="1:15" x14ac:dyDescent="0.3">
      <c r="A188" t="s">
        <v>212</v>
      </c>
      <c r="B188">
        <v>33</v>
      </c>
      <c r="C188" t="s">
        <v>16</v>
      </c>
      <c r="D188" t="s">
        <v>26</v>
      </c>
      <c r="E188" t="s">
        <v>20</v>
      </c>
      <c r="F188">
        <v>11.06</v>
      </c>
      <c r="G188">
        <v>2.88</v>
      </c>
      <c r="H188">
        <v>8.18</v>
      </c>
      <c r="I188">
        <v>5.86</v>
      </c>
      <c r="J188">
        <v>1</v>
      </c>
      <c r="K188">
        <v>10</v>
      </c>
      <c r="L188">
        <v>28.1</v>
      </c>
      <c r="M188">
        <v>25</v>
      </c>
      <c r="N188">
        <v>7.4</v>
      </c>
      <c r="O188">
        <v>0</v>
      </c>
    </row>
    <row r="189" spans="1:15" x14ac:dyDescent="0.3">
      <c r="A189" t="s">
        <v>213</v>
      </c>
      <c r="B189">
        <v>29</v>
      </c>
      <c r="C189" t="s">
        <v>16</v>
      </c>
      <c r="D189" t="s">
        <v>17</v>
      </c>
      <c r="E189" t="s">
        <v>18</v>
      </c>
      <c r="F189">
        <v>10.75</v>
      </c>
      <c r="G189">
        <v>6.43</v>
      </c>
      <c r="H189">
        <v>4.32</v>
      </c>
      <c r="I189">
        <v>6.12</v>
      </c>
      <c r="J189">
        <v>1</v>
      </c>
      <c r="K189">
        <v>7.4</v>
      </c>
      <c r="L189">
        <v>66.8</v>
      </c>
      <c r="M189">
        <v>0</v>
      </c>
      <c r="N189">
        <v>7.8</v>
      </c>
      <c r="O189">
        <v>28.6</v>
      </c>
    </row>
    <row r="190" spans="1:15" x14ac:dyDescent="0.3">
      <c r="A190" t="s">
        <v>214</v>
      </c>
      <c r="B190">
        <v>23</v>
      </c>
      <c r="C190" t="s">
        <v>16</v>
      </c>
      <c r="D190" t="s">
        <v>17</v>
      </c>
      <c r="E190" t="s">
        <v>18</v>
      </c>
      <c r="F190">
        <v>12.27</v>
      </c>
      <c r="G190">
        <v>6.71</v>
      </c>
      <c r="H190">
        <v>5.56</v>
      </c>
      <c r="I190">
        <v>7.53</v>
      </c>
      <c r="J190">
        <v>1</v>
      </c>
      <c r="K190">
        <v>10</v>
      </c>
      <c r="L190">
        <v>48.6</v>
      </c>
      <c r="M190">
        <v>91</v>
      </c>
      <c r="N190">
        <v>12.5</v>
      </c>
      <c r="O190">
        <v>0</v>
      </c>
    </row>
    <row r="191" spans="1:15" x14ac:dyDescent="0.3">
      <c r="A191" t="s">
        <v>215</v>
      </c>
      <c r="B191">
        <v>17</v>
      </c>
      <c r="C191" t="s">
        <v>24</v>
      </c>
      <c r="D191" t="s">
        <v>17</v>
      </c>
      <c r="E191" t="s">
        <v>18</v>
      </c>
      <c r="F191">
        <v>13.51</v>
      </c>
      <c r="G191">
        <v>2.0299999999999998</v>
      </c>
      <c r="H191">
        <v>11.48</v>
      </c>
      <c r="I191">
        <v>6.35</v>
      </c>
      <c r="J191">
        <v>1</v>
      </c>
      <c r="K191">
        <v>10</v>
      </c>
      <c r="L191">
        <v>36</v>
      </c>
      <c r="M191">
        <v>58</v>
      </c>
      <c r="N191">
        <v>0</v>
      </c>
      <c r="O191">
        <v>0</v>
      </c>
    </row>
    <row r="192" spans="1:15" x14ac:dyDescent="0.3">
      <c r="A192" t="s">
        <v>216</v>
      </c>
      <c r="B192">
        <v>26</v>
      </c>
      <c r="C192" t="s">
        <v>24</v>
      </c>
      <c r="D192" t="s">
        <v>26</v>
      </c>
      <c r="E192" t="s">
        <v>22</v>
      </c>
      <c r="F192">
        <v>10.19</v>
      </c>
      <c r="G192">
        <v>0.84</v>
      </c>
      <c r="H192">
        <v>9.35</v>
      </c>
      <c r="I192">
        <v>6.39</v>
      </c>
      <c r="J192">
        <v>1</v>
      </c>
      <c r="K192">
        <v>10</v>
      </c>
      <c r="L192">
        <v>30.9</v>
      </c>
      <c r="M192">
        <v>101</v>
      </c>
      <c r="N192">
        <v>3.4</v>
      </c>
      <c r="O192">
        <v>0</v>
      </c>
    </row>
    <row r="193" spans="1:15" x14ac:dyDescent="0.3">
      <c r="A193" t="s">
        <v>217</v>
      </c>
      <c r="B193">
        <v>36</v>
      </c>
      <c r="C193" t="s">
        <v>24</v>
      </c>
      <c r="D193" t="s">
        <v>29</v>
      </c>
      <c r="E193" t="s">
        <v>20</v>
      </c>
      <c r="F193">
        <v>7.02</v>
      </c>
      <c r="G193">
        <v>0.71</v>
      </c>
      <c r="H193">
        <v>6.31</v>
      </c>
      <c r="I193">
        <v>7.81</v>
      </c>
      <c r="J193">
        <v>2</v>
      </c>
      <c r="K193">
        <v>6.4</v>
      </c>
      <c r="L193">
        <v>69.599999999999994</v>
      </c>
      <c r="M193">
        <v>118</v>
      </c>
      <c r="N193">
        <v>15.6</v>
      </c>
      <c r="O193">
        <v>36.1</v>
      </c>
    </row>
    <row r="194" spans="1:15" x14ac:dyDescent="0.3">
      <c r="A194" t="s">
        <v>218</v>
      </c>
      <c r="B194">
        <v>31</v>
      </c>
      <c r="C194" t="s">
        <v>16</v>
      </c>
      <c r="D194" t="s">
        <v>17</v>
      </c>
      <c r="E194" t="s">
        <v>18</v>
      </c>
      <c r="F194">
        <v>7.34</v>
      </c>
      <c r="G194">
        <v>2.2400000000000002</v>
      </c>
      <c r="H194">
        <v>5.0999999999999996</v>
      </c>
      <c r="I194">
        <v>6.66</v>
      </c>
      <c r="J194">
        <v>1</v>
      </c>
      <c r="K194">
        <v>9.1</v>
      </c>
      <c r="L194">
        <v>41.9</v>
      </c>
      <c r="M194">
        <v>295</v>
      </c>
      <c r="N194">
        <v>9.4</v>
      </c>
      <c r="O194">
        <v>16.100000000000001</v>
      </c>
    </row>
    <row r="195" spans="1:15" x14ac:dyDescent="0.3">
      <c r="A195" t="s">
        <v>219</v>
      </c>
      <c r="B195">
        <v>20</v>
      </c>
      <c r="C195" t="s">
        <v>24</v>
      </c>
      <c r="D195" t="s">
        <v>26</v>
      </c>
      <c r="E195" t="s">
        <v>20</v>
      </c>
      <c r="F195">
        <v>10.4</v>
      </c>
      <c r="G195">
        <v>0.54</v>
      </c>
      <c r="H195">
        <v>9.86</v>
      </c>
      <c r="I195">
        <v>7.94</v>
      </c>
      <c r="J195">
        <v>1</v>
      </c>
      <c r="K195">
        <v>10</v>
      </c>
      <c r="L195">
        <v>45.1</v>
      </c>
      <c r="M195">
        <v>0</v>
      </c>
      <c r="N195">
        <v>10.7</v>
      </c>
      <c r="O195">
        <v>0</v>
      </c>
    </row>
    <row r="196" spans="1:15" x14ac:dyDescent="0.3">
      <c r="A196" t="s">
        <v>220</v>
      </c>
      <c r="B196">
        <v>31</v>
      </c>
      <c r="C196" t="s">
        <v>24</v>
      </c>
      <c r="D196" t="s">
        <v>29</v>
      </c>
      <c r="E196" t="s">
        <v>18</v>
      </c>
      <c r="F196">
        <v>10.82</v>
      </c>
      <c r="G196">
        <v>4.01</v>
      </c>
      <c r="H196">
        <v>6.81</v>
      </c>
      <c r="I196">
        <v>7.87</v>
      </c>
      <c r="J196">
        <v>2</v>
      </c>
      <c r="K196">
        <v>10</v>
      </c>
      <c r="L196">
        <v>50.2</v>
      </c>
      <c r="M196">
        <v>0</v>
      </c>
      <c r="N196">
        <v>16.3</v>
      </c>
      <c r="O196">
        <v>19.3</v>
      </c>
    </row>
    <row r="197" spans="1:15" x14ac:dyDescent="0.3">
      <c r="A197" t="s">
        <v>221</v>
      </c>
      <c r="B197">
        <v>33</v>
      </c>
      <c r="C197" t="s">
        <v>16</v>
      </c>
      <c r="D197" t="s">
        <v>37</v>
      </c>
      <c r="E197" t="s">
        <v>20</v>
      </c>
      <c r="F197">
        <v>5.85</v>
      </c>
      <c r="G197">
        <v>0.57999999999999996</v>
      </c>
      <c r="H197">
        <v>5.27</v>
      </c>
      <c r="I197">
        <v>7.18</v>
      </c>
      <c r="J197">
        <v>1</v>
      </c>
      <c r="K197">
        <v>7.4</v>
      </c>
      <c r="L197">
        <v>54</v>
      </c>
      <c r="M197">
        <v>148</v>
      </c>
      <c r="N197">
        <v>2</v>
      </c>
      <c r="O197">
        <v>20.3</v>
      </c>
    </row>
    <row r="198" spans="1:15" x14ac:dyDescent="0.3">
      <c r="A198" t="s">
        <v>222</v>
      </c>
      <c r="B198">
        <v>22</v>
      </c>
      <c r="C198" t="s">
        <v>16</v>
      </c>
      <c r="D198" t="s">
        <v>29</v>
      </c>
      <c r="E198" t="s">
        <v>18</v>
      </c>
      <c r="F198">
        <v>10.95</v>
      </c>
      <c r="G198">
        <v>2.64</v>
      </c>
      <c r="H198">
        <v>8.31</v>
      </c>
      <c r="I198">
        <v>6.17</v>
      </c>
      <c r="J198">
        <v>1</v>
      </c>
      <c r="K198">
        <v>10</v>
      </c>
      <c r="L198">
        <v>48.3</v>
      </c>
      <c r="M198">
        <v>62</v>
      </c>
      <c r="N198">
        <v>5.8</v>
      </c>
      <c r="O198">
        <v>7.6</v>
      </c>
    </row>
    <row r="199" spans="1:15" x14ac:dyDescent="0.3">
      <c r="A199" t="s">
        <v>223</v>
      </c>
      <c r="B199">
        <v>31</v>
      </c>
      <c r="C199" t="s">
        <v>24</v>
      </c>
      <c r="D199" t="s">
        <v>29</v>
      </c>
      <c r="E199" t="s">
        <v>18</v>
      </c>
      <c r="F199">
        <v>8.08</v>
      </c>
      <c r="G199">
        <v>3.75</v>
      </c>
      <c r="H199">
        <v>4.33</v>
      </c>
      <c r="I199">
        <v>5.0999999999999996</v>
      </c>
      <c r="J199">
        <v>1</v>
      </c>
      <c r="K199">
        <v>7</v>
      </c>
      <c r="L199">
        <v>62.7</v>
      </c>
      <c r="M199">
        <v>132</v>
      </c>
      <c r="N199">
        <v>5.6</v>
      </c>
      <c r="O199">
        <v>30.6</v>
      </c>
    </row>
    <row r="200" spans="1:15" x14ac:dyDescent="0.3">
      <c r="A200" t="s">
        <v>224</v>
      </c>
      <c r="B200">
        <v>30</v>
      </c>
      <c r="C200" t="s">
        <v>24</v>
      </c>
      <c r="D200" t="s">
        <v>17</v>
      </c>
      <c r="E200" t="s">
        <v>22</v>
      </c>
      <c r="F200">
        <v>11.65</v>
      </c>
      <c r="G200">
        <v>0.57999999999999996</v>
      </c>
      <c r="H200">
        <v>11.07</v>
      </c>
      <c r="I200">
        <v>5.47</v>
      </c>
      <c r="J200">
        <v>1</v>
      </c>
      <c r="K200">
        <v>10</v>
      </c>
      <c r="L200">
        <v>46.4</v>
      </c>
      <c r="M200">
        <v>129</v>
      </c>
      <c r="N200">
        <v>0</v>
      </c>
      <c r="O200">
        <v>0.8</v>
      </c>
    </row>
    <row r="201" spans="1:15" x14ac:dyDescent="0.3">
      <c r="A201" t="s">
        <v>225</v>
      </c>
      <c r="B201">
        <v>20</v>
      </c>
      <c r="C201" t="s">
        <v>24</v>
      </c>
      <c r="D201" t="s">
        <v>17</v>
      </c>
      <c r="E201" t="s">
        <v>22</v>
      </c>
      <c r="F201">
        <v>8.93</v>
      </c>
      <c r="G201">
        <v>1.62</v>
      </c>
      <c r="H201">
        <v>7.31</v>
      </c>
      <c r="I201">
        <v>5.89</v>
      </c>
      <c r="J201">
        <v>1</v>
      </c>
      <c r="K201">
        <v>10</v>
      </c>
      <c r="L201">
        <v>44.7</v>
      </c>
      <c r="M201">
        <v>189</v>
      </c>
      <c r="N201">
        <v>6.9</v>
      </c>
      <c r="O201">
        <v>0</v>
      </c>
    </row>
    <row r="202" spans="1:15" x14ac:dyDescent="0.3">
      <c r="A202" t="s">
        <v>226</v>
      </c>
      <c r="B202">
        <v>32</v>
      </c>
      <c r="C202" t="s">
        <v>16</v>
      </c>
      <c r="D202" t="s">
        <v>26</v>
      </c>
      <c r="E202" t="s">
        <v>18</v>
      </c>
      <c r="F202">
        <v>11.79</v>
      </c>
      <c r="G202">
        <v>7.06</v>
      </c>
      <c r="H202">
        <v>4.7300000000000004</v>
      </c>
      <c r="I202">
        <v>6.76</v>
      </c>
      <c r="J202">
        <v>1</v>
      </c>
      <c r="K202">
        <v>10</v>
      </c>
      <c r="L202">
        <v>31.8</v>
      </c>
      <c r="M202">
        <v>0</v>
      </c>
      <c r="N202">
        <v>12.2</v>
      </c>
      <c r="O202">
        <v>0</v>
      </c>
    </row>
    <row r="203" spans="1:15" x14ac:dyDescent="0.3">
      <c r="A203" t="s">
        <v>227</v>
      </c>
      <c r="B203">
        <v>34</v>
      </c>
      <c r="C203" t="s">
        <v>24</v>
      </c>
      <c r="D203" t="s">
        <v>17</v>
      </c>
      <c r="E203" t="s">
        <v>22</v>
      </c>
      <c r="F203">
        <v>6.09</v>
      </c>
      <c r="G203">
        <v>0.59</v>
      </c>
      <c r="H203">
        <v>5.5</v>
      </c>
      <c r="I203">
        <v>7.27</v>
      </c>
      <c r="J203">
        <v>2</v>
      </c>
      <c r="K203">
        <v>8.5</v>
      </c>
      <c r="L203">
        <v>66.7</v>
      </c>
      <c r="M203">
        <v>84</v>
      </c>
      <c r="N203">
        <v>11.9</v>
      </c>
      <c r="O203">
        <v>27.5</v>
      </c>
    </row>
    <row r="204" spans="1:15" x14ac:dyDescent="0.3">
      <c r="A204" t="s">
        <v>228</v>
      </c>
      <c r="B204">
        <v>38</v>
      </c>
      <c r="C204" t="s">
        <v>16</v>
      </c>
      <c r="D204" t="s">
        <v>17</v>
      </c>
      <c r="E204" t="s">
        <v>20</v>
      </c>
      <c r="F204">
        <v>8.64</v>
      </c>
      <c r="G204">
        <v>1.1499999999999999</v>
      </c>
      <c r="H204">
        <v>7.49</v>
      </c>
      <c r="I204">
        <v>6.11</v>
      </c>
      <c r="J204">
        <v>1</v>
      </c>
      <c r="K204">
        <v>6.6</v>
      </c>
      <c r="L204">
        <v>57</v>
      </c>
      <c r="M204">
        <v>140</v>
      </c>
      <c r="N204">
        <v>12.8</v>
      </c>
      <c r="O204">
        <v>29.4</v>
      </c>
    </row>
    <row r="205" spans="1:15" x14ac:dyDescent="0.3">
      <c r="A205" t="s">
        <v>229</v>
      </c>
      <c r="B205">
        <v>38</v>
      </c>
      <c r="C205" t="s">
        <v>16</v>
      </c>
      <c r="D205" t="s">
        <v>17</v>
      </c>
      <c r="E205" t="s">
        <v>22</v>
      </c>
      <c r="F205">
        <v>7.71</v>
      </c>
      <c r="G205">
        <v>0.87</v>
      </c>
      <c r="H205">
        <v>6.84</v>
      </c>
      <c r="I205">
        <v>7.1</v>
      </c>
      <c r="J205">
        <v>1</v>
      </c>
      <c r="K205">
        <v>6.4</v>
      </c>
      <c r="L205">
        <v>52.5</v>
      </c>
      <c r="M205">
        <v>170</v>
      </c>
      <c r="N205">
        <v>7.4</v>
      </c>
      <c r="O205">
        <v>24.6</v>
      </c>
    </row>
    <row r="206" spans="1:15" x14ac:dyDescent="0.3">
      <c r="A206" t="s">
        <v>230</v>
      </c>
      <c r="B206">
        <v>18</v>
      </c>
      <c r="C206" t="s">
        <v>16</v>
      </c>
      <c r="D206" t="s">
        <v>17</v>
      </c>
      <c r="E206" t="s">
        <v>22</v>
      </c>
      <c r="F206">
        <v>10.68</v>
      </c>
      <c r="G206">
        <v>0.88</v>
      </c>
      <c r="H206">
        <v>9.8000000000000007</v>
      </c>
      <c r="I206">
        <v>7.08</v>
      </c>
      <c r="J206">
        <v>1</v>
      </c>
      <c r="K206">
        <v>10</v>
      </c>
      <c r="L206">
        <v>50.1</v>
      </c>
      <c r="M206">
        <v>241</v>
      </c>
      <c r="N206">
        <v>3.1</v>
      </c>
      <c r="O206">
        <v>6.2</v>
      </c>
    </row>
    <row r="207" spans="1:15" x14ac:dyDescent="0.3">
      <c r="A207" t="s">
        <v>231</v>
      </c>
      <c r="B207">
        <v>22</v>
      </c>
      <c r="C207" t="s">
        <v>24</v>
      </c>
      <c r="D207" t="s">
        <v>17</v>
      </c>
      <c r="E207" t="s">
        <v>22</v>
      </c>
      <c r="F207">
        <v>8.73</v>
      </c>
      <c r="G207">
        <v>0.65</v>
      </c>
      <c r="H207">
        <v>8.08</v>
      </c>
      <c r="I207">
        <v>7.43</v>
      </c>
      <c r="J207">
        <v>1</v>
      </c>
      <c r="K207">
        <v>9.4</v>
      </c>
      <c r="L207">
        <v>59.9</v>
      </c>
      <c r="M207">
        <v>169</v>
      </c>
      <c r="N207">
        <v>13.1</v>
      </c>
      <c r="O207">
        <v>26</v>
      </c>
    </row>
    <row r="208" spans="1:15" x14ac:dyDescent="0.3">
      <c r="A208" t="s">
        <v>232</v>
      </c>
      <c r="B208">
        <v>34</v>
      </c>
      <c r="C208" t="s">
        <v>24</v>
      </c>
      <c r="D208" t="s">
        <v>26</v>
      </c>
      <c r="E208" t="s">
        <v>22</v>
      </c>
      <c r="F208">
        <v>7.3</v>
      </c>
      <c r="G208">
        <v>0.72</v>
      </c>
      <c r="H208">
        <v>6.58</v>
      </c>
      <c r="I208">
        <v>5.83</v>
      </c>
      <c r="J208">
        <v>1</v>
      </c>
      <c r="K208">
        <v>9.8000000000000007</v>
      </c>
      <c r="L208">
        <v>47.6</v>
      </c>
      <c r="M208">
        <v>112</v>
      </c>
      <c r="N208">
        <v>6.4</v>
      </c>
      <c r="O208">
        <v>0</v>
      </c>
    </row>
    <row r="209" spans="1:15" x14ac:dyDescent="0.3">
      <c r="A209" t="s">
        <v>233</v>
      </c>
      <c r="B209">
        <v>34</v>
      </c>
      <c r="C209" t="s">
        <v>24</v>
      </c>
      <c r="D209" t="s">
        <v>26</v>
      </c>
      <c r="E209" t="s">
        <v>18</v>
      </c>
      <c r="F209">
        <v>10.89</v>
      </c>
      <c r="G209">
        <v>7.48</v>
      </c>
      <c r="H209">
        <v>3.41</v>
      </c>
      <c r="I209">
        <v>6.7</v>
      </c>
      <c r="J209">
        <v>1</v>
      </c>
      <c r="K209">
        <v>10</v>
      </c>
      <c r="L209">
        <v>54.6</v>
      </c>
      <c r="M209">
        <v>32</v>
      </c>
      <c r="N209">
        <v>9.5</v>
      </c>
      <c r="O209">
        <v>9.8000000000000007</v>
      </c>
    </row>
    <row r="210" spans="1:15" x14ac:dyDescent="0.3">
      <c r="A210" t="s">
        <v>234</v>
      </c>
      <c r="B210">
        <v>34</v>
      </c>
      <c r="C210" t="s">
        <v>16</v>
      </c>
      <c r="D210" t="s">
        <v>17</v>
      </c>
      <c r="E210" t="s">
        <v>22</v>
      </c>
      <c r="F210">
        <v>11.14</v>
      </c>
      <c r="G210">
        <v>1.56</v>
      </c>
      <c r="H210">
        <v>9.58</v>
      </c>
      <c r="I210">
        <v>5.66</v>
      </c>
      <c r="J210">
        <v>1</v>
      </c>
      <c r="K210">
        <v>9.6</v>
      </c>
      <c r="L210">
        <v>43.4</v>
      </c>
      <c r="M210">
        <v>54</v>
      </c>
      <c r="N210">
        <v>10.4</v>
      </c>
      <c r="O210">
        <v>0</v>
      </c>
    </row>
    <row r="211" spans="1:15" x14ac:dyDescent="0.3">
      <c r="A211" t="s">
        <v>235</v>
      </c>
      <c r="B211">
        <v>60</v>
      </c>
      <c r="C211" t="s">
        <v>24</v>
      </c>
      <c r="D211" t="s">
        <v>26</v>
      </c>
      <c r="E211" t="s">
        <v>18</v>
      </c>
      <c r="F211">
        <v>12.56</v>
      </c>
      <c r="G211">
        <v>2.93</v>
      </c>
      <c r="H211">
        <v>9.6300000000000008</v>
      </c>
      <c r="I211">
        <v>7.54</v>
      </c>
      <c r="J211">
        <v>1</v>
      </c>
      <c r="K211">
        <v>10</v>
      </c>
      <c r="L211">
        <v>36.9</v>
      </c>
      <c r="M211">
        <v>56</v>
      </c>
      <c r="N211">
        <v>15.9</v>
      </c>
      <c r="O211">
        <v>0</v>
      </c>
    </row>
    <row r="212" spans="1:15" x14ac:dyDescent="0.3">
      <c r="A212" t="s">
        <v>236</v>
      </c>
      <c r="B212">
        <v>34</v>
      </c>
      <c r="C212" t="s">
        <v>16</v>
      </c>
      <c r="D212" t="s">
        <v>29</v>
      </c>
      <c r="E212" t="s">
        <v>18</v>
      </c>
      <c r="F212">
        <v>11.96</v>
      </c>
      <c r="G212">
        <v>6.74</v>
      </c>
      <c r="H212">
        <v>5.22</v>
      </c>
      <c r="I212">
        <v>7.27</v>
      </c>
      <c r="J212">
        <v>1</v>
      </c>
      <c r="K212">
        <v>9.3000000000000007</v>
      </c>
      <c r="L212">
        <v>39.1</v>
      </c>
      <c r="M212">
        <v>134</v>
      </c>
      <c r="N212">
        <v>10.199999999999999</v>
      </c>
      <c r="O212">
        <v>3.3</v>
      </c>
    </row>
    <row r="213" spans="1:15" x14ac:dyDescent="0.3">
      <c r="A213" t="s">
        <v>237</v>
      </c>
      <c r="B213">
        <v>39</v>
      </c>
      <c r="C213" t="s">
        <v>24</v>
      </c>
      <c r="D213" t="s">
        <v>17</v>
      </c>
      <c r="E213" t="s">
        <v>22</v>
      </c>
      <c r="F213">
        <v>11.15</v>
      </c>
      <c r="G213">
        <v>0.56000000000000005</v>
      </c>
      <c r="H213">
        <v>10.59</v>
      </c>
      <c r="I213">
        <v>6.1</v>
      </c>
      <c r="J213">
        <v>1</v>
      </c>
      <c r="K213">
        <v>9.1999999999999993</v>
      </c>
      <c r="L213">
        <v>54.3</v>
      </c>
      <c r="M213">
        <v>114</v>
      </c>
      <c r="N213">
        <v>0.1</v>
      </c>
      <c r="O213">
        <v>6.5</v>
      </c>
    </row>
    <row r="214" spans="1:15" x14ac:dyDescent="0.3">
      <c r="A214" t="s">
        <v>238</v>
      </c>
      <c r="B214">
        <v>37</v>
      </c>
      <c r="C214" t="s">
        <v>16</v>
      </c>
      <c r="D214" t="s">
        <v>17</v>
      </c>
      <c r="E214" t="s">
        <v>18</v>
      </c>
      <c r="F214">
        <v>5.28</v>
      </c>
      <c r="G214">
        <v>3.59</v>
      </c>
      <c r="H214">
        <v>1.69</v>
      </c>
      <c r="I214">
        <v>7.07</v>
      </c>
      <c r="J214">
        <v>2</v>
      </c>
      <c r="K214">
        <v>6.5</v>
      </c>
      <c r="L214">
        <v>65.400000000000006</v>
      </c>
      <c r="M214">
        <v>37</v>
      </c>
      <c r="N214">
        <v>4.5</v>
      </c>
      <c r="O214">
        <v>38.799999999999997</v>
      </c>
    </row>
    <row r="215" spans="1:15" x14ac:dyDescent="0.3">
      <c r="A215" t="s">
        <v>239</v>
      </c>
      <c r="B215">
        <v>35</v>
      </c>
      <c r="C215" t="s">
        <v>16</v>
      </c>
      <c r="D215" t="s">
        <v>17</v>
      </c>
      <c r="E215" t="s">
        <v>22</v>
      </c>
      <c r="F215">
        <v>7.32</v>
      </c>
      <c r="G215">
        <v>1.08</v>
      </c>
      <c r="H215">
        <v>6.24</v>
      </c>
      <c r="I215">
        <v>6.98</v>
      </c>
      <c r="J215">
        <v>1</v>
      </c>
      <c r="K215">
        <v>9.1999999999999993</v>
      </c>
      <c r="L215">
        <v>54.6</v>
      </c>
      <c r="M215">
        <v>86</v>
      </c>
      <c r="N215">
        <v>13.3</v>
      </c>
      <c r="O215">
        <v>19.100000000000001</v>
      </c>
    </row>
    <row r="216" spans="1:15" x14ac:dyDescent="0.3">
      <c r="A216" t="s">
        <v>240</v>
      </c>
      <c r="B216">
        <v>27</v>
      </c>
      <c r="C216" t="s">
        <v>16</v>
      </c>
      <c r="D216" t="s">
        <v>29</v>
      </c>
      <c r="E216" t="s">
        <v>22</v>
      </c>
      <c r="F216">
        <v>9.39</v>
      </c>
      <c r="G216">
        <v>0.47</v>
      </c>
      <c r="H216">
        <v>8.92</v>
      </c>
      <c r="I216">
        <v>5.16</v>
      </c>
      <c r="J216">
        <v>1</v>
      </c>
      <c r="K216">
        <v>10</v>
      </c>
      <c r="L216">
        <v>40.6</v>
      </c>
      <c r="M216">
        <v>162</v>
      </c>
      <c r="N216">
        <v>9</v>
      </c>
      <c r="O216">
        <v>5.9</v>
      </c>
    </row>
    <row r="217" spans="1:15" x14ac:dyDescent="0.3">
      <c r="A217" t="s">
        <v>241</v>
      </c>
      <c r="B217">
        <v>36</v>
      </c>
      <c r="C217" t="s">
        <v>16</v>
      </c>
      <c r="D217" t="s">
        <v>17</v>
      </c>
      <c r="E217" t="s">
        <v>18</v>
      </c>
      <c r="F217">
        <v>11.12</v>
      </c>
      <c r="G217">
        <v>4.7</v>
      </c>
      <c r="H217">
        <v>6.42</v>
      </c>
      <c r="I217">
        <v>7.06</v>
      </c>
      <c r="J217">
        <v>1</v>
      </c>
      <c r="K217">
        <v>8.3000000000000007</v>
      </c>
      <c r="L217">
        <v>45.4</v>
      </c>
      <c r="M217">
        <v>119</v>
      </c>
      <c r="N217">
        <v>4.3</v>
      </c>
      <c r="O217">
        <v>13</v>
      </c>
    </row>
    <row r="218" spans="1:15" x14ac:dyDescent="0.3">
      <c r="A218" t="s">
        <v>242</v>
      </c>
      <c r="B218">
        <v>23</v>
      </c>
      <c r="C218" t="s">
        <v>24</v>
      </c>
      <c r="D218" t="s">
        <v>17</v>
      </c>
      <c r="E218" t="s">
        <v>22</v>
      </c>
      <c r="F218">
        <v>3.49</v>
      </c>
      <c r="G218">
        <v>0.52</v>
      </c>
      <c r="H218">
        <v>2.97</v>
      </c>
      <c r="I218">
        <v>7.59</v>
      </c>
      <c r="J218">
        <v>3</v>
      </c>
      <c r="K218">
        <v>1.9</v>
      </c>
      <c r="L218">
        <v>100</v>
      </c>
      <c r="M218">
        <v>173</v>
      </c>
      <c r="N218">
        <v>12.4</v>
      </c>
      <c r="O218">
        <v>77.7</v>
      </c>
    </row>
    <row r="219" spans="1:15" x14ac:dyDescent="0.3">
      <c r="A219" t="s">
        <v>243</v>
      </c>
      <c r="B219">
        <v>28</v>
      </c>
      <c r="C219" t="s">
        <v>16</v>
      </c>
      <c r="D219" t="s">
        <v>17</v>
      </c>
      <c r="E219" t="s">
        <v>22</v>
      </c>
      <c r="F219">
        <v>15.38</v>
      </c>
      <c r="G219">
        <v>2.09</v>
      </c>
      <c r="H219">
        <v>13.29</v>
      </c>
      <c r="I219">
        <v>6.85</v>
      </c>
      <c r="J219">
        <v>1</v>
      </c>
      <c r="K219">
        <v>10</v>
      </c>
      <c r="L219">
        <v>32.6</v>
      </c>
      <c r="M219">
        <v>92</v>
      </c>
      <c r="N219">
        <v>4</v>
      </c>
      <c r="O219">
        <v>1.2</v>
      </c>
    </row>
    <row r="220" spans="1:15" x14ac:dyDescent="0.3">
      <c r="A220" t="s">
        <v>244</v>
      </c>
      <c r="B220">
        <v>26</v>
      </c>
      <c r="C220" t="s">
        <v>16</v>
      </c>
      <c r="D220" t="s">
        <v>17</v>
      </c>
      <c r="E220" t="s">
        <v>20</v>
      </c>
      <c r="F220">
        <v>11.64</v>
      </c>
      <c r="G220">
        <v>0.68</v>
      </c>
      <c r="H220">
        <v>10.96</v>
      </c>
      <c r="I220">
        <v>5.74</v>
      </c>
      <c r="J220">
        <v>1</v>
      </c>
      <c r="K220">
        <v>10</v>
      </c>
      <c r="L220">
        <v>38.1</v>
      </c>
      <c r="M220">
        <v>200</v>
      </c>
      <c r="N220">
        <v>7.4</v>
      </c>
      <c r="O220">
        <v>15.9</v>
      </c>
    </row>
    <row r="221" spans="1:15" x14ac:dyDescent="0.3">
      <c r="A221" t="s">
        <v>245</v>
      </c>
      <c r="B221">
        <v>30</v>
      </c>
      <c r="C221" t="s">
        <v>24</v>
      </c>
      <c r="D221" t="s">
        <v>29</v>
      </c>
      <c r="E221" t="s">
        <v>22</v>
      </c>
      <c r="F221">
        <v>9.1300000000000008</v>
      </c>
      <c r="G221">
        <v>0.98</v>
      </c>
      <c r="H221">
        <v>8.15</v>
      </c>
      <c r="I221">
        <v>6.54</v>
      </c>
      <c r="J221">
        <v>1</v>
      </c>
      <c r="K221">
        <v>8.4</v>
      </c>
      <c r="L221">
        <v>57.5</v>
      </c>
      <c r="M221">
        <v>120</v>
      </c>
      <c r="N221">
        <v>12.1</v>
      </c>
      <c r="O221">
        <v>14.5</v>
      </c>
    </row>
    <row r="222" spans="1:15" x14ac:dyDescent="0.3">
      <c r="A222" t="s">
        <v>246</v>
      </c>
      <c r="B222">
        <v>48</v>
      </c>
      <c r="C222" t="s">
        <v>16</v>
      </c>
      <c r="D222" t="s">
        <v>17</v>
      </c>
      <c r="E222" t="s">
        <v>20</v>
      </c>
      <c r="F222">
        <v>7.48</v>
      </c>
      <c r="G222">
        <v>0.48</v>
      </c>
      <c r="H222">
        <v>7</v>
      </c>
      <c r="I222">
        <v>6.25</v>
      </c>
      <c r="J222">
        <v>1</v>
      </c>
      <c r="K222">
        <v>6.4</v>
      </c>
      <c r="L222">
        <v>70.8</v>
      </c>
      <c r="M222">
        <v>95</v>
      </c>
      <c r="N222">
        <v>4.0999999999999996</v>
      </c>
      <c r="O222">
        <v>29.2</v>
      </c>
    </row>
    <row r="223" spans="1:15" x14ac:dyDescent="0.3">
      <c r="A223" t="s">
        <v>247</v>
      </c>
      <c r="B223">
        <v>16</v>
      </c>
      <c r="C223" t="s">
        <v>24</v>
      </c>
      <c r="D223" t="s">
        <v>17</v>
      </c>
      <c r="E223" t="s">
        <v>22</v>
      </c>
      <c r="F223">
        <v>10.029999999999999</v>
      </c>
      <c r="G223">
        <v>1.22</v>
      </c>
      <c r="H223">
        <v>8.81</v>
      </c>
      <c r="I223">
        <v>5.95</v>
      </c>
      <c r="J223">
        <v>1</v>
      </c>
      <c r="K223">
        <v>10</v>
      </c>
      <c r="L223">
        <v>46.8</v>
      </c>
      <c r="M223">
        <v>27</v>
      </c>
      <c r="N223">
        <v>15.1</v>
      </c>
      <c r="O223">
        <v>0</v>
      </c>
    </row>
    <row r="224" spans="1:15" x14ac:dyDescent="0.3">
      <c r="A224" t="s">
        <v>248</v>
      </c>
      <c r="B224">
        <v>35</v>
      </c>
      <c r="C224" t="s">
        <v>24</v>
      </c>
      <c r="D224" t="s">
        <v>29</v>
      </c>
      <c r="E224" t="s">
        <v>18</v>
      </c>
      <c r="F224">
        <v>5.5</v>
      </c>
      <c r="G224">
        <v>1.97</v>
      </c>
      <c r="H224">
        <v>3.53</v>
      </c>
      <c r="I224">
        <v>6.68</v>
      </c>
      <c r="J224">
        <v>1</v>
      </c>
      <c r="K224">
        <v>5.4</v>
      </c>
      <c r="L224">
        <v>64.2</v>
      </c>
      <c r="M224">
        <v>145</v>
      </c>
      <c r="N224">
        <v>6.3</v>
      </c>
      <c r="O224">
        <v>32.1</v>
      </c>
    </row>
    <row r="225" spans="1:15" x14ac:dyDescent="0.3">
      <c r="A225" t="s">
        <v>249</v>
      </c>
      <c r="B225">
        <v>17</v>
      </c>
      <c r="C225" t="s">
        <v>24</v>
      </c>
      <c r="D225" t="s">
        <v>29</v>
      </c>
      <c r="E225" t="s">
        <v>22</v>
      </c>
      <c r="F225">
        <v>9.5299999999999994</v>
      </c>
      <c r="G225">
        <v>2.23</v>
      </c>
      <c r="H225">
        <v>7.3</v>
      </c>
      <c r="I225">
        <v>7.64</v>
      </c>
      <c r="J225">
        <v>2</v>
      </c>
      <c r="K225">
        <v>10</v>
      </c>
      <c r="L225">
        <v>46.6</v>
      </c>
      <c r="M225">
        <v>0</v>
      </c>
      <c r="N225">
        <v>8.4</v>
      </c>
      <c r="O225">
        <v>0</v>
      </c>
    </row>
    <row r="226" spans="1:15" x14ac:dyDescent="0.3">
      <c r="A226" t="s">
        <v>250</v>
      </c>
      <c r="B226">
        <v>26</v>
      </c>
      <c r="C226" t="s">
        <v>16</v>
      </c>
      <c r="D226" t="s">
        <v>17</v>
      </c>
      <c r="E226" t="s">
        <v>20</v>
      </c>
      <c r="F226">
        <v>8.16</v>
      </c>
      <c r="G226">
        <v>0.92</v>
      </c>
      <c r="H226">
        <v>7.24</v>
      </c>
      <c r="I226">
        <v>6.58</v>
      </c>
      <c r="J226">
        <v>1</v>
      </c>
      <c r="K226">
        <v>7.4</v>
      </c>
      <c r="L226">
        <v>56.6</v>
      </c>
      <c r="M226">
        <v>94</v>
      </c>
      <c r="N226">
        <v>17.3</v>
      </c>
      <c r="O226">
        <v>23.2</v>
      </c>
    </row>
    <row r="227" spans="1:15" x14ac:dyDescent="0.3">
      <c r="A227" t="s">
        <v>251</v>
      </c>
      <c r="B227">
        <v>38</v>
      </c>
      <c r="C227" t="s">
        <v>24</v>
      </c>
      <c r="D227" t="s">
        <v>29</v>
      </c>
      <c r="E227" t="s">
        <v>22</v>
      </c>
      <c r="F227">
        <v>9.32</v>
      </c>
      <c r="G227">
        <v>0.8</v>
      </c>
      <c r="H227">
        <v>8.52</v>
      </c>
      <c r="I227">
        <v>7.18</v>
      </c>
      <c r="J227">
        <v>1</v>
      </c>
      <c r="K227">
        <v>7.4</v>
      </c>
      <c r="L227">
        <v>56.3</v>
      </c>
      <c r="M227">
        <v>92</v>
      </c>
      <c r="N227">
        <v>0</v>
      </c>
      <c r="O227">
        <v>15.5</v>
      </c>
    </row>
    <row r="228" spans="1:15" x14ac:dyDescent="0.3">
      <c r="A228" t="s">
        <v>252</v>
      </c>
      <c r="B228">
        <v>30</v>
      </c>
      <c r="C228" t="s">
        <v>24</v>
      </c>
      <c r="D228" t="s">
        <v>17</v>
      </c>
      <c r="E228" t="s">
        <v>20</v>
      </c>
      <c r="F228">
        <v>7.42</v>
      </c>
      <c r="G228">
        <v>1.06</v>
      </c>
      <c r="H228">
        <v>6.36</v>
      </c>
      <c r="I228">
        <v>6.98</v>
      </c>
      <c r="J228">
        <v>2</v>
      </c>
      <c r="K228">
        <v>3.5</v>
      </c>
      <c r="L228">
        <v>72.900000000000006</v>
      </c>
      <c r="M228">
        <v>18</v>
      </c>
      <c r="N228">
        <v>9</v>
      </c>
      <c r="O228">
        <v>43.2</v>
      </c>
    </row>
    <row r="229" spans="1:15" x14ac:dyDescent="0.3">
      <c r="A229" t="s">
        <v>253</v>
      </c>
      <c r="B229">
        <v>21</v>
      </c>
      <c r="C229" t="s">
        <v>16</v>
      </c>
      <c r="D229" t="s">
        <v>17</v>
      </c>
      <c r="E229" t="s">
        <v>20</v>
      </c>
      <c r="F229">
        <v>8.06</v>
      </c>
      <c r="G229">
        <v>1.85</v>
      </c>
      <c r="H229">
        <v>6.21</v>
      </c>
      <c r="I229">
        <v>6.09</v>
      </c>
      <c r="J229">
        <v>1</v>
      </c>
      <c r="K229">
        <v>8.4</v>
      </c>
      <c r="L229">
        <v>56.6</v>
      </c>
      <c r="M229">
        <v>40</v>
      </c>
      <c r="N229">
        <v>12.6</v>
      </c>
      <c r="O229">
        <v>18.899999999999999</v>
      </c>
    </row>
    <row r="230" spans="1:15" x14ac:dyDescent="0.3">
      <c r="A230" t="s">
        <v>254</v>
      </c>
      <c r="B230">
        <v>24</v>
      </c>
      <c r="C230" t="s">
        <v>16</v>
      </c>
      <c r="D230" t="s">
        <v>17</v>
      </c>
      <c r="E230" t="s">
        <v>18</v>
      </c>
      <c r="F230">
        <v>9.51</v>
      </c>
      <c r="G230">
        <v>2.33</v>
      </c>
      <c r="H230">
        <v>7.18</v>
      </c>
      <c r="I230">
        <v>6.78</v>
      </c>
      <c r="J230">
        <v>1</v>
      </c>
      <c r="K230">
        <v>8.8000000000000007</v>
      </c>
      <c r="L230">
        <v>49</v>
      </c>
      <c r="M230">
        <v>155</v>
      </c>
      <c r="N230">
        <v>11.1</v>
      </c>
      <c r="O230">
        <v>5.7</v>
      </c>
    </row>
    <row r="231" spans="1:15" x14ac:dyDescent="0.3">
      <c r="A231" t="s">
        <v>255</v>
      </c>
      <c r="B231">
        <v>35</v>
      </c>
      <c r="C231" t="s">
        <v>24</v>
      </c>
      <c r="D231" t="s">
        <v>17</v>
      </c>
      <c r="E231" t="s">
        <v>18</v>
      </c>
      <c r="F231">
        <v>11.85</v>
      </c>
      <c r="G231">
        <v>6.4</v>
      </c>
      <c r="H231">
        <v>5.45</v>
      </c>
      <c r="I231">
        <v>7.15</v>
      </c>
      <c r="J231">
        <v>1</v>
      </c>
      <c r="K231">
        <v>9.3000000000000007</v>
      </c>
      <c r="L231">
        <v>32.700000000000003</v>
      </c>
      <c r="M231">
        <v>106</v>
      </c>
      <c r="N231">
        <v>4.7</v>
      </c>
      <c r="O231">
        <v>0</v>
      </c>
    </row>
    <row r="232" spans="1:15" x14ac:dyDescent="0.3">
      <c r="A232" t="s">
        <v>256</v>
      </c>
      <c r="B232">
        <v>24</v>
      </c>
      <c r="C232" t="s">
        <v>24</v>
      </c>
      <c r="D232" t="s">
        <v>26</v>
      </c>
      <c r="E232" t="s">
        <v>22</v>
      </c>
      <c r="F232">
        <v>10.64</v>
      </c>
      <c r="G232">
        <v>1.25</v>
      </c>
      <c r="H232">
        <v>9.39</v>
      </c>
      <c r="I232">
        <v>5.78</v>
      </c>
      <c r="J232">
        <v>1</v>
      </c>
      <c r="K232">
        <v>10</v>
      </c>
      <c r="L232">
        <v>36.5</v>
      </c>
      <c r="M232">
        <v>98</v>
      </c>
      <c r="N232">
        <v>3.1</v>
      </c>
      <c r="O232">
        <v>8.6</v>
      </c>
    </row>
    <row r="233" spans="1:15" x14ac:dyDescent="0.3">
      <c r="A233" t="s">
        <v>257</v>
      </c>
      <c r="B233">
        <v>31</v>
      </c>
      <c r="C233" t="s">
        <v>24</v>
      </c>
      <c r="D233" t="s">
        <v>29</v>
      </c>
      <c r="E233" t="s">
        <v>22</v>
      </c>
      <c r="F233">
        <v>7.51</v>
      </c>
      <c r="G233">
        <v>0.73</v>
      </c>
      <c r="H233">
        <v>6.78</v>
      </c>
      <c r="I233">
        <v>7.93</v>
      </c>
      <c r="J233">
        <v>2</v>
      </c>
      <c r="K233">
        <v>7.8</v>
      </c>
      <c r="L233">
        <v>58.5</v>
      </c>
      <c r="M233">
        <v>135</v>
      </c>
      <c r="N233">
        <v>12.2</v>
      </c>
      <c r="O233">
        <v>20.100000000000001</v>
      </c>
    </row>
    <row r="234" spans="1:15" x14ac:dyDescent="0.3">
      <c r="A234" t="s">
        <v>258</v>
      </c>
      <c r="B234">
        <v>30</v>
      </c>
      <c r="C234" t="s">
        <v>24</v>
      </c>
      <c r="D234" t="s">
        <v>29</v>
      </c>
      <c r="E234" t="s">
        <v>20</v>
      </c>
      <c r="F234">
        <v>6.2</v>
      </c>
      <c r="G234">
        <v>0.31</v>
      </c>
      <c r="H234">
        <v>5.89</v>
      </c>
      <c r="I234">
        <v>6.79</v>
      </c>
      <c r="J234">
        <v>1</v>
      </c>
      <c r="K234">
        <v>6.9</v>
      </c>
      <c r="L234">
        <v>60.7</v>
      </c>
      <c r="M234">
        <v>127</v>
      </c>
      <c r="N234">
        <v>14.2</v>
      </c>
      <c r="O234">
        <v>16.5</v>
      </c>
    </row>
    <row r="235" spans="1:15" x14ac:dyDescent="0.3">
      <c r="A235" t="s">
        <v>259</v>
      </c>
      <c r="B235">
        <v>24</v>
      </c>
      <c r="C235" t="s">
        <v>24</v>
      </c>
      <c r="D235" t="s">
        <v>26</v>
      </c>
      <c r="E235" t="s">
        <v>20</v>
      </c>
      <c r="F235">
        <v>7.26</v>
      </c>
      <c r="G235">
        <v>0.96</v>
      </c>
      <c r="H235">
        <v>6.3</v>
      </c>
      <c r="I235">
        <v>6.86</v>
      </c>
      <c r="J235">
        <v>1</v>
      </c>
      <c r="K235">
        <v>9.9</v>
      </c>
      <c r="L235">
        <v>58.8</v>
      </c>
      <c r="M235">
        <v>198</v>
      </c>
      <c r="N235">
        <v>3.1</v>
      </c>
      <c r="O235">
        <v>13.3</v>
      </c>
    </row>
    <row r="236" spans="1:15" x14ac:dyDescent="0.3">
      <c r="A236" t="s">
        <v>260</v>
      </c>
      <c r="B236">
        <v>47</v>
      </c>
      <c r="C236" t="s">
        <v>16</v>
      </c>
      <c r="D236" t="s">
        <v>29</v>
      </c>
      <c r="E236" t="s">
        <v>18</v>
      </c>
      <c r="F236">
        <v>10.23</v>
      </c>
      <c r="G236">
        <v>3.11</v>
      </c>
      <c r="H236">
        <v>7.12</v>
      </c>
      <c r="I236">
        <v>7.46</v>
      </c>
      <c r="J236">
        <v>1</v>
      </c>
      <c r="K236">
        <v>10</v>
      </c>
      <c r="L236">
        <v>44.1</v>
      </c>
      <c r="M236">
        <v>114</v>
      </c>
      <c r="N236">
        <v>0.7</v>
      </c>
      <c r="O236">
        <v>10.1</v>
      </c>
    </row>
    <row r="237" spans="1:15" x14ac:dyDescent="0.3">
      <c r="A237" t="s">
        <v>261</v>
      </c>
      <c r="B237">
        <v>35</v>
      </c>
      <c r="C237" t="s">
        <v>16</v>
      </c>
      <c r="D237" t="s">
        <v>26</v>
      </c>
      <c r="E237" t="s">
        <v>18</v>
      </c>
      <c r="F237">
        <v>10.18</v>
      </c>
      <c r="G237">
        <v>5.4</v>
      </c>
      <c r="H237">
        <v>4.78</v>
      </c>
      <c r="I237">
        <v>6.39</v>
      </c>
      <c r="J237">
        <v>1</v>
      </c>
      <c r="K237">
        <v>8.9</v>
      </c>
      <c r="L237">
        <v>42.1</v>
      </c>
      <c r="M237">
        <v>0</v>
      </c>
      <c r="N237">
        <v>8.1</v>
      </c>
      <c r="O237">
        <v>0</v>
      </c>
    </row>
    <row r="238" spans="1:15" x14ac:dyDescent="0.3">
      <c r="A238" t="s">
        <v>262</v>
      </c>
      <c r="B238">
        <v>16</v>
      </c>
      <c r="C238" t="s">
        <v>16</v>
      </c>
      <c r="D238" t="s">
        <v>17</v>
      </c>
      <c r="E238" t="s">
        <v>20</v>
      </c>
      <c r="F238">
        <v>8.98</v>
      </c>
      <c r="G238">
        <v>1.47</v>
      </c>
      <c r="H238">
        <v>7.51</v>
      </c>
      <c r="I238">
        <v>6.94</v>
      </c>
      <c r="J238">
        <v>1</v>
      </c>
      <c r="K238">
        <v>7.6</v>
      </c>
      <c r="L238">
        <v>55.5</v>
      </c>
      <c r="M238">
        <v>211</v>
      </c>
      <c r="N238">
        <v>7.3</v>
      </c>
      <c r="O238">
        <v>24.7</v>
      </c>
    </row>
    <row r="239" spans="1:15" x14ac:dyDescent="0.3">
      <c r="A239" t="s">
        <v>263</v>
      </c>
      <c r="B239">
        <v>31</v>
      </c>
      <c r="C239" t="s">
        <v>24</v>
      </c>
      <c r="D239" t="s">
        <v>17</v>
      </c>
      <c r="E239" t="s">
        <v>22</v>
      </c>
      <c r="F239">
        <v>10.39</v>
      </c>
      <c r="G239">
        <v>0.96</v>
      </c>
      <c r="H239">
        <v>9.43</v>
      </c>
      <c r="I239">
        <v>6.6</v>
      </c>
      <c r="J239">
        <v>2</v>
      </c>
      <c r="K239">
        <v>10</v>
      </c>
      <c r="L239">
        <v>46.3</v>
      </c>
      <c r="M239">
        <v>122</v>
      </c>
      <c r="N239">
        <v>6.3</v>
      </c>
      <c r="O239">
        <v>15.8</v>
      </c>
    </row>
    <row r="240" spans="1:15" x14ac:dyDescent="0.3">
      <c r="A240" t="s">
        <v>264</v>
      </c>
      <c r="B240">
        <v>24</v>
      </c>
      <c r="C240" t="s">
        <v>16</v>
      </c>
      <c r="D240" t="s">
        <v>26</v>
      </c>
      <c r="E240" t="s">
        <v>20</v>
      </c>
      <c r="F240">
        <v>8.7100000000000009</v>
      </c>
      <c r="G240">
        <v>0.48</v>
      </c>
      <c r="H240">
        <v>8.23</v>
      </c>
      <c r="I240">
        <v>7.14</v>
      </c>
      <c r="J240">
        <v>1</v>
      </c>
      <c r="K240">
        <v>9.6</v>
      </c>
      <c r="L240">
        <v>48.5</v>
      </c>
      <c r="M240">
        <v>61</v>
      </c>
      <c r="N240">
        <v>10.9</v>
      </c>
      <c r="O240">
        <v>0</v>
      </c>
    </row>
    <row r="241" spans="1:15" x14ac:dyDescent="0.3">
      <c r="A241" t="s">
        <v>265</v>
      </c>
      <c r="B241">
        <v>36</v>
      </c>
      <c r="C241" t="s">
        <v>24</v>
      </c>
      <c r="D241" t="s">
        <v>29</v>
      </c>
      <c r="E241" t="s">
        <v>22</v>
      </c>
      <c r="F241">
        <v>9.0399999999999991</v>
      </c>
      <c r="G241">
        <v>0.45</v>
      </c>
      <c r="H241">
        <v>8.59</v>
      </c>
      <c r="I241">
        <v>5.2</v>
      </c>
      <c r="J241">
        <v>1</v>
      </c>
      <c r="K241">
        <v>9.5</v>
      </c>
      <c r="L241">
        <v>49.9</v>
      </c>
      <c r="M241">
        <v>19</v>
      </c>
      <c r="N241">
        <v>7.3</v>
      </c>
      <c r="O241">
        <v>10.5</v>
      </c>
    </row>
    <row r="242" spans="1:15" x14ac:dyDescent="0.3">
      <c r="A242" t="s">
        <v>266</v>
      </c>
      <c r="B242">
        <v>23</v>
      </c>
      <c r="C242" t="s">
        <v>24</v>
      </c>
      <c r="D242" t="s">
        <v>29</v>
      </c>
      <c r="E242" t="s">
        <v>22</v>
      </c>
      <c r="F242">
        <v>7.05</v>
      </c>
      <c r="G242">
        <v>1.19</v>
      </c>
      <c r="H242">
        <v>5.86</v>
      </c>
      <c r="I242">
        <v>5.81</v>
      </c>
      <c r="J242">
        <v>1</v>
      </c>
      <c r="K242">
        <v>6.4</v>
      </c>
      <c r="L242">
        <v>69.099999999999994</v>
      </c>
      <c r="M242">
        <v>140</v>
      </c>
      <c r="N242">
        <v>0</v>
      </c>
      <c r="O242">
        <v>37.1</v>
      </c>
    </row>
    <row r="243" spans="1:15" x14ac:dyDescent="0.3">
      <c r="A243" t="s">
        <v>267</v>
      </c>
      <c r="B243">
        <v>29</v>
      </c>
      <c r="C243" t="s">
        <v>24</v>
      </c>
      <c r="D243" t="s">
        <v>17</v>
      </c>
      <c r="E243" t="s">
        <v>18</v>
      </c>
      <c r="F243">
        <v>7.76</v>
      </c>
      <c r="G243">
        <v>2.5</v>
      </c>
      <c r="H243">
        <v>5.26</v>
      </c>
      <c r="I243">
        <v>7.72</v>
      </c>
      <c r="J243">
        <v>2</v>
      </c>
      <c r="K243">
        <v>7.9</v>
      </c>
      <c r="L243">
        <v>60.6</v>
      </c>
      <c r="M243">
        <v>103</v>
      </c>
      <c r="N243">
        <v>2.4</v>
      </c>
      <c r="O243">
        <v>26.2</v>
      </c>
    </row>
    <row r="244" spans="1:15" x14ac:dyDescent="0.3">
      <c r="A244" t="s">
        <v>268</v>
      </c>
      <c r="B244">
        <v>34</v>
      </c>
      <c r="C244" t="s">
        <v>16</v>
      </c>
      <c r="D244" t="s">
        <v>26</v>
      </c>
      <c r="E244" t="s">
        <v>22</v>
      </c>
      <c r="F244">
        <v>6.86</v>
      </c>
      <c r="G244">
        <v>0.72</v>
      </c>
      <c r="H244">
        <v>6.14</v>
      </c>
      <c r="I244">
        <v>8.24</v>
      </c>
      <c r="J244">
        <v>2</v>
      </c>
      <c r="K244">
        <v>5.2</v>
      </c>
      <c r="L244">
        <v>82.7</v>
      </c>
      <c r="M244">
        <v>229</v>
      </c>
      <c r="N244">
        <v>10</v>
      </c>
      <c r="O244">
        <v>61.1</v>
      </c>
    </row>
    <row r="245" spans="1:15" x14ac:dyDescent="0.3">
      <c r="A245" t="s">
        <v>269</v>
      </c>
      <c r="B245">
        <v>36</v>
      </c>
      <c r="C245" t="s">
        <v>24</v>
      </c>
      <c r="D245" t="s">
        <v>17</v>
      </c>
      <c r="E245" t="s">
        <v>22</v>
      </c>
      <c r="F245">
        <v>10.39</v>
      </c>
      <c r="G245">
        <v>0.56999999999999995</v>
      </c>
      <c r="H245">
        <v>9.82</v>
      </c>
      <c r="I245">
        <v>6.17</v>
      </c>
      <c r="J245">
        <v>1</v>
      </c>
      <c r="K245">
        <v>10</v>
      </c>
      <c r="L245">
        <v>47.9</v>
      </c>
      <c r="M245">
        <v>74</v>
      </c>
      <c r="N245">
        <v>6.4</v>
      </c>
      <c r="O245">
        <v>10.6</v>
      </c>
    </row>
    <row r="246" spans="1:15" x14ac:dyDescent="0.3">
      <c r="A246" t="s">
        <v>270</v>
      </c>
      <c r="B246">
        <v>20</v>
      </c>
      <c r="C246" t="s">
        <v>16</v>
      </c>
      <c r="D246" t="s">
        <v>17</v>
      </c>
      <c r="E246" t="s">
        <v>22</v>
      </c>
      <c r="F246">
        <v>10.130000000000001</v>
      </c>
      <c r="G246">
        <v>0.51</v>
      </c>
      <c r="H246">
        <v>9.6199999999999992</v>
      </c>
      <c r="I246">
        <v>6.59</v>
      </c>
      <c r="J246">
        <v>1</v>
      </c>
      <c r="K246">
        <v>10</v>
      </c>
      <c r="L246">
        <v>38.6</v>
      </c>
      <c r="M246">
        <v>34</v>
      </c>
      <c r="N246">
        <v>0</v>
      </c>
      <c r="O246">
        <v>0</v>
      </c>
    </row>
    <row r="247" spans="1:15" x14ac:dyDescent="0.3">
      <c r="A247" t="s">
        <v>271</v>
      </c>
      <c r="B247">
        <v>27</v>
      </c>
      <c r="C247" t="s">
        <v>24</v>
      </c>
      <c r="D247" t="s">
        <v>31</v>
      </c>
      <c r="E247" t="s">
        <v>18</v>
      </c>
      <c r="F247">
        <v>8.8000000000000007</v>
      </c>
      <c r="G247">
        <v>6.69</v>
      </c>
      <c r="H247">
        <v>2.11</v>
      </c>
      <c r="I247">
        <v>7.29</v>
      </c>
      <c r="J247">
        <v>2</v>
      </c>
      <c r="K247">
        <v>6.8</v>
      </c>
      <c r="L247">
        <v>76.900000000000006</v>
      </c>
      <c r="M247">
        <v>166</v>
      </c>
      <c r="N247">
        <v>0</v>
      </c>
      <c r="O247">
        <v>39</v>
      </c>
    </row>
    <row r="248" spans="1:15" x14ac:dyDescent="0.3">
      <c r="A248" t="s">
        <v>272</v>
      </c>
      <c r="B248">
        <v>26</v>
      </c>
      <c r="C248" t="s">
        <v>16</v>
      </c>
      <c r="D248" t="s">
        <v>17</v>
      </c>
      <c r="E248" t="s">
        <v>20</v>
      </c>
      <c r="F248">
        <v>8.4499999999999993</v>
      </c>
      <c r="G248">
        <v>1.83</v>
      </c>
      <c r="H248">
        <v>6.62</v>
      </c>
      <c r="I248">
        <v>7.65</v>
      </c>
      <c r="J248">
        <v>2</v>
      </c>
      <c r="K248">
        <v>5.2</v>
      </c>
      <c r="L248">
        <v>72.5</v>
      </c>
      <c r="M248">
        <v>170</v>
      </c>
      <c r="N248">
        <v>8.3000000000000007</v>
      </c>
      <c r="O248">
        <v>42.2</v>
      </c>
    </row>
    <row r="249" spans="1:15" x14ac:dyDescent="0.3">
      <c r="A249" t="s">
        <v>273</v>
      </c>
      <c r="B249">
        <v>24</v>
      </c>
      <c r="C249" t="s">
        <v>16</v>
      </c>
      <c r="D249" t="s">
        <v>17</v>
      </c>
      <c r="E249" t="s">
        <v>20</v>
      </c>
      <c r="F249">
        <v>10.130000000000001</v>
      </c>
      <c r="G249">
        <v>2.5499999999999998</v>
      </c>
      <c r="H249">
        <v>7.58</v>
      </c>
      <c r="I249">
        <v>5.2</v>
      </c>
      <c r="J249">
        <v>1</v>
      </c>
      <c r="K249">
        <v>8.5</v>
      </c>
      <c r="L249">
        <v>43.8</v>
      </c>
      <c r="M249">
        <v>106</v>
      </c>
      <c r="N249">
        <v>14.5</v>
      </c>
      <c r="O249">
        <v>10.199999999999999</v>
      </c>
    </row>
    <row r="250" spans="1:15" x14ac:dyDescent="0.3">
      <c r="A250" t="s">
        <v>274</v>
      </c>
      <c r="B250">
        <v>44</v>
      </c>
      <c r="C250" t="s">
        <v>24</v>
      </c>
      <c r="D250" t="s">
        <v>17</v>
      </c>
      <c r="E250" t="s">
        <v>18</v>
      </c>
      <c r="F250">
        <v>9.61</v>
      </c>
      <c r="G250">
        <v>5.75</v>
      </c>
      <c r="H250">
        <v>3.86</v>
      </c>
      <c r="I250">
        <v>6.39</v>
      </c>
      <c r="J250">
        <v>2</v>
      </c>
      <c r="K250">
        <v>10</v>
      </c>
      <c r="L250">
        <v>59.5</v>
      </c>
      <c r="M250">
        <v>155</v>
      </c>
      <c r="N250">
        <v>8.6999999999999993</v>
      </c>
      <c r="O250">
        <v>21.8</v>
      </c>
    </row>
    <row r="251" spans="1:15" x14ac:dyDescent="0.3">
      <c r="A251" t="s">
        <v>275</v>
      </c>
      <c r="B251">
        <v>33</v>
      </c>
      <c r="C251" t="s">
        <v>16</v>
      </c>
      <c r="D251" t="s">
        <v>17</v>
      </c>
      <c r="E251" t="s">
        <v>18</v>
      </c>
      <c r="F251">
        <v>12.69</v>
      </c>
      <c r="G251">
        <v>5.84</v>
      </c>
      <c r="H251">
        <v>6.85</v>
      </c>
      <c r="I251">
        <v>6.26</v>
      </c>
      <c r="J251">
        <v>1</v>
      </c>
      <c r="K251">
        <v>10</v>
      </c>
      <c r="L251">
        <v>51.4</v>
      </c>
      <c r="M251">
        <v>81</v>
      </c>
      <c r="N251">
        <v>11.1</v>
      </c>
      <c r="O251">
        <v>3.4</v>
      </c>
    </row>
    <row r="252" spans="1:15" x14ac:dyDescent="0.3">
      <c r="A252" t="s">
        <v>276</v>
      </c>
      <c r="B252">
        <v>19</v>
      </c>
      <c r="C252" t="s">
        <v>16</v>
      </c>
      <c r="D252" t="s">
        <v>17</v>
      </c>
      <c r="E252" t="s">
        <v>18</v>
      </c>
      <c r="F252">
        <v>11.19</v>
      </c>
      <c r="G252">
        <v>4.91</v>
      </c>
      <c r="H252">
        <v>6.28</v>
      </c>
      <c r="I252">
        <v>7.17</v>
      </c>
      <c r="J252">
        <v>1</v>
      </c>
      <c r="K252">
        <v>10</v>
      </c>
      <c r="L252">
        <v>41</v>
      </c>
      <c r="M252">
        <v>102</v>
      </c>
      <c r="N252">
        <v>6</v>
      </c>
      <c r="O252">
        <v>0</v>
      </c>
    </row>
    <row r="253" spans="1:15" x14ac:dyDescent="0.3">
      <c r="A253" t="s">
        <v>277</v>
      </c>
      <c r="B253">
        <v>37</v>
      </c>
      <c r="C253" t="s">
        <v>24</v>
      </c>
      <c r="D253" t="s">
        <v>26</v>
      </c>
      <c r="E253" t="s">
        <v>22</v>
      </c>
      <c r="F253">
        <v>4.87</v>
      </c>
      <c r="G253">
        <v>0.41</v>
      </c>
      <c r="H253">
        <v>4.46</v>
      </c>
      <c r="I253">
        <v>9.74</v>
      </c>
      <c r="J253">
        <v>3</v>
      </c>
      <c r="K253">
        <v>2.7</v>
      </c>
      <c r="L253">
        <v>88.9</v>
      </c>
      <c r="M253">
        <v>214</v>
      </c>
      <c r="N253">
        <v>2.5</v>
      </c>
      <c r="O253">
        <v>83.8</v>
      </c>
    </row>
    <row r="254" spans="1:15" x14ac:dyDescent="0.3">
      <c r="A254" t="s">
        <v>278</v>
      </c>
      <c r="B254">
        <v>46</v>
      </c>
      <c r="C254" t="s">
        <v>24</v>
      </c>
      <c r="D254" t="s">
        <v>17</v>
      </c>
      <c r="E254" t="s">
        <v>22</v>
      </c>
      <c r="F254">
        <v>13.66</v>
      </c>
      <c r="G254">
        <v>0.79</v>
      </c>
      <c r="H254">
        <v>12.87</v>
      </c>
      <c r="I254">
        <v>6.33</v>
      </c>
      <c r="J254">
        <v>1</v>
      </c>
      <c r="K254">
        <v>10</v>
      </c>
      <c r="L254">
        <v>36.5</v>
      </c>
      <c r="M254">
        <v>128</v>
      </c>
      <c r="N254">
        <v>7.2</v>
      </c>
      <c r="O254">
        <v>1.7</v>
      </c>
    </row>
    <row r="255" spans="1:15" x14ac:dyDescent="0.3">
      <c r="A255" t="s">
        <v>279</v>
      </c>
      <c r="B255">
        <v>38</v>
      </c>
      <c r="C255" t="s">
        <v>24</v>
      </c>
      <c r="D255" t="s">
        <v>17</v>
      </c>
      <c r="E255" t="s">
        <v>22</v>
      </c>
      <c r="F255">
        <v>9.8000000000000007</v>
      </c>
      <c r="G255">
        <v>0.65</v>
      </c>
      <c r="H255">
        <v>9.15</v>
      </c>
      <c r="I255">
        <v>5.88</v>
      </c>
      <c r="J255">
        <v>1</v>
      </c>
      <c r="K255">
        <v>8.6</v>
      </c>
      <c r="L255">
        <v>53.2</v>
      </c>
      <c r="M255">
        <v>91</v>
      </c>
      <c r="N255">
        <v>9.9</v>
      </c>
      <c r="O255">
        <v>11</v>
      </c>
    </row>
    <row r="256" spans="1:15" x14ac:dyDescent="0.3">
      <c r="A256" t="s">
        <v>280</v>
      </c>
      <c r="B256">
        <v>17</v>
      </c>
      <c r="C256" t="s">
        <v>24</v>
      </c>
      <c r="D256" t="s">
        <v>37</v>
      </c>
      <c r="E256" t="s">
        <v>18</v>
      </c>
      <c r="F256">
        <v>6.42</v>
      </c>
      <c r="G256">
        <v>4.43</v>
      </c>
      <c r="H256">
        <v>1.99</v>
      </c>
      <c r="I256">
        <v>7.63</v>
      </c>
      <c r="J256">
        <v>1</v>
      </c>
      <c r="K256">
        <v>7.6</v>
      </c>
      <c r="L256">
        <v>65.599999999999994</v>
      </c>
      <c r="M256">
        <v>208</v>
      </c>
      <c r="N256">
        <v>8.4</v>
      </c>
      <c r="O256">
        <v>31.3</v>
      </c>
    </row>
    <row r="257" spans="1:15" x14ac:dyDescent="0.3">
      <c r="A257" t="s">
        <v>281</v>
      </c>
      <c r="B257">
        <v>26</v>
      </c>
      <c r="C257" t="s">
        <v>24</v>
      </c>
      <c r="D257" t="s">
        <v>17</v>
      </c>
      <c r="E257" t="s">
        <v>22</v>
      </c>
      <c r="F257">
        <v>9.26</v>
      </c>
      <c r="G257">
        <v>0.46</v>
      </c>
      <c r="H257">
        <v>8.8000000000000007</v>
      </c>
      <c r="I257">
        <v>8.0299999999999994</v>
      </c>
      <c r="J257">
        <v>2</v>
      </c>
      <c r="K257">
        <v>7.1</v>
      </c>
      <c r="L257">
        <v>65.099999999999994</v>
      </c>
      <c r="M257">
        <v>0</v>
      </c>
      <c r="N257">
        <v>0</v>
      </c>
      <c r="O257">
        <v>40.4</v>
      </c>
    </row>
    <row r="258" spans="1:15" x14ac:dyDescent="0.3">
      <c r="A258" t="s">
        <v>282</v>
      </c>
      <c r="B258">
        <v>40</v>
      </c>
      <c r="C258" t="s">
        <v>16</v>
      </c>
      <c r="D258" t="s">
        <v>17</v>
      </c>
      <c r="E258" t="s">
        <v>22</v>
      </c>
      <c r="F258">
        <v>9.66</v>
      </c>
      <c r="G258">
        <v>1.1599999999999999</v>
      </c>
      <c r="H258">
        <v>8.5</v>
      </c>
      <c r="I258">
        <v>7.14</v>
      </c>
      <c r="J258">
        <v>1</v>
      </c>
      <c r="K258">
        <v>8.4</v>
      </c>
      <c r="L258">
        <v>50.5</v>
      </c>
      <c r="M258">
        <v>249</v>
      </c>
      <c r="N258">
        <v>5.0999999999999996</v>
      </c>
      <c r="O258">
        <v>0.4</v>
      </c>
    </row>
    <row r="259" spans="1:15" x14ac:dyDescent="0.3">
      <c r="A259" t="s">
        <v>283</v>
      </c>
      <c r="B259">
        <v>24</v>
      </c>
      <c r="C259" t="s">
        <v>16</v>
      </c>
      <c r="D259" t="s">
        <v>37</v>
      </c>
      <c r="E259" t="s">
        <v>22</v>
      </c>
      <c r="F259">
        <v>2.44</v>
      </c>
      <c r="G259">
        <v>0.12</v>
      </c>
      <c r="H259">
        <v>2.3199999999999998</v>
      </c>
      <c r="I259">
        <v>7.25</v>
      </c>
      <c r="J259">
        <v>3</v>
      </c>
      <c r="K259">
        <v>0.6</v>
      </c>
      <c r="L259">
        <v>100</v>
      </c>
      <c r="M259">
        <v>21</v>
      </c>
      <c r="N259">
        <v>6.4</v>
      </c>
      <c r="O259">
        <v>88.9</v>
      </c>
    </row>
    <row r="260" spans="1:15" x14ac:dyDescent="0.3">
      <c r="A260" t="s">
        <v>284</v>
      </c>
      <c r="B260">
        <v>33</v>
      </c>
      <c r="C260" t="s">
        <v>16</v>
      </c>
      <c r="D260" t="s">
        <v>26</v>
      </c>
      <c r="E260" t="s">
        <v>20</v>
      </c>
      <c r="F260">
        <v>8.8699999999999992</v>
      </c>
      <c r="G260">
        <v>1</v>
      </c>
      <c r="H260">
        <v>7.87</v>
      </c>
      <c r="I260">
        <v>7.87</v>
      </c>
      <c r="J260">
        <v>1</v>
      </c>
      <c r="K260">
        <v>8.5</v>
      </c>
      <c r="L260">
        <v>48.8</v>
      </c>
      <c r="M260">
        <v>62</v>
      </c>
      <c r="N260">
        <v>10.6</v>
      </c>
      <c r="O260">
        <v>2.8</v>
      </c>
    </row>
    <row r="261" spans="1:15" x14ac:dyDescent="0.3">
      <c r="A261" t="s">
        <v>285</v>
      </c>
      <c r="B261">
        <v>36</v>
      </c>
      <c r="C261" t="s">
        <v>24</v>
      </c>
      <c r="D261" t="s">
        <v>37</v>
      </c>
      <c r="E261" t="s">
        <v>18</v>
      </c>
      <c r="F261">
        <v>8.89</v>
      </c>
      <c r="G261">
        <v>2.93</v>
      </c>
      <c r="H261">
        <v>5.96</v>
      </c>
      <c r="I261">
        <v>7.66</v>
      </c>
      <c r="J261">
        <v>2</v>
      </c>
      <c r="K261">
        <v>7.8</v>
      </c>
      <c r="L261">
        <v>65.7</v>
      </c>
      <c r="M261">
        <v>105</v>
      </c>
      <c r="N261">
        <v>13.3</v>
      </c>
      <c r="O261">
        <v>33.6</v>
      </c>
    </row>
    <row r="262" spans="1:15" x14ac:dyDescent="0.3">
      <c r="A262" t="s">
        <v>286</v>
      </c>
      <c r="B262">
        <v>22</v>
      </c>
      <c r="C262" t="s">
        <v>24</v>
      </c>
      <c r="D262" t="s">
        <v>17</v>
      </c>
      <c r="E262" t="s">
        <v>22</v>
      </c>
      <c r="F262">
        <v>7.83</v>
      </c>
      <c r="G262">
        <v>1.79</v>
      </c>
      <c r="H262">
        <v>6.04</v>
      </c>
      <c r="I262">
        <v>6.32</v>
      </c>
      <c r="J262">
        <v>2</v>
      </c>
      <c r="K262">
        <v>7.4</v>
      </c>
      <c r="L262">
        <v>60.9</v>
      </c>
      <c r="M262">
        <v>97</v>
      </c>
      <c r="N262">
        <v>5.9</v>
      </c>
      <c r="O262">
        <v>31.3</v>
      </c>
    </row>
    <row r="263" spans="1:15" x14ac:dyDescent="0.3">
      <c r="A263" t="s">
        <v>287</v>
      </c>
      <c r="B263">
        <v>29</v>
      </c>
      <c r="C263" t="s">
        <v>16</v>
      </c>
      <c r="D263" t="s">
        <v>26</v>
      </c>
      <c r="E263" t="s">
        <v>18</v>
      </c>
      <c r="F263">
        <v>14.18</v>
      </c>
      <c r="G263">
        <v>2.4</v>
      </c>
      <c r="H263">
        <v>11.78</v>
      </c>
      <c r="I263">
        <v>6.57</v>
      </c>
      <c r="J263">
        <v>1</v>
      </c>
      <c r="K263">
        <v>7.8</v>
      </c>
      <c r="L263">
        <v>48.1</v>
      </c>
      <c r="M263">
        <v>143</v>
      </c>
      <c r="N263">
        <v>5.3</v>
      </c>
      <c r="O263">
        <v>20.399999999999999</v>
      </c>
    </row>
    <row r="264" spans="1:15" x14ac:dyDescent="0.3">
      <c r="A264" t="s">
        <v>288</v>
      </c>
      <c r="B264">
        <v>16</v>
      </c>
      <c r="C264" t="s">
        <v>16</v>
      </c>
      <c r="D264" t="s">
        <v>17</v>
      </c>
      <c r="E264" t="s">
        <v>22</v>
      </c>
      <c r="F264">
        <v>7.64</v>
      </c>
      <c r="G264">
        <v>0.55000000000000004</v>
      </c>
      <c r="H264">
        <v>7.09</v>
      </c>
      <c r="I264">
        <v>7.91</v>
      </c>
      <c r="J264">
        <v>1</v>
      </c>
      <c r="K264">
        <v>6.9</v>
      </c>
      <c r="L264">
        <v>58.3</v>
      </c>
      <c r="M264">
        <v>31</v>
      </c>
      <c r="N264">
        <v>11</v>
      </c>
      <c r="O264">
        <v>19.3</v>
      </c>
    </row>
    <row r="265" spans="1:15" x14ac:dyDescent="0.3">
      <c r="A265" t="s">
        <v>289</v>
      </c>
      <c r="B265">
        <v>21</v>
      </c>
      <c r="C265" t="s">
        <v>24</v>
      </c>
      <c r="D265" t="s">
        <v>17</v>
      </c>
      <c r="E265" t="s">
        <v>20</v>
      </c>
      <c r="F265">
        <v>8.86</v>
      </c>
      <c r="G265">
        <v>0.68</v>
      </c>
      <c r="H265">
        <v>8.18</v>
      </c>
      <c r="I265">
        <v>7.93</v>
      </c>
      <c r="J265">
        <v>1</v>
      </c>
      <c r="K265">
        <v>8.5</v>
      </c>
      <c r="L265">
        <v>50.4</v>
      </c>
      <c r="M265">
        <v>119</v>
      </c>
      <c r="N265">
        <v>12.1</v>
      </c>
      <c r="O265">
        <v>2.1</v>
      </c>
    </row>
    <row r="266" spans="1:15" x14ac:dyDescent="0.3">
      <c r="A266" t="s">
        <v>290</v>
      </c>
      <c r="B266">
        <v>27</v>
      </c>
      <c r="C266" t="s">
        <v>16</v>
      </c>
      <c r="D266" t="s">
        <v>26</v>
      </c>
      <c r="E266" t="s">
        <v>22</v>
      </c>
      <c r="F266">
        <v>8.08</v>
      </c>
      <c r="G266">
        <v>1.42</v>
      </c>
      <c r="H266">
        <v>6.66</v>
      </c>
      <c r="I266">
        <v>7.1</v>
      </c>
      <c r="J266">
        <v>1</v>
      </c>
      <c r="K266">
        <v>10</v>
      </c>
      <c r="L266">
        <v>43.6</v>
      </c>
      <c r="M266">
        <v>68</v>
      </c>
      <c r="N266">
        <v>8.3000000000000007</v>
      </c>
      <c r="O266">
        <v>0</v>
      </c>
    </row>
    <row r="267" spans="1:15" x14ac:dyDescent="0.3">
      <c r="A267" t="s">
        <v>291</v>
      </c>
      <c r="B267">
        <v>20</v>
      </c>
      <c r="C267" t="s">
        <v>24</v>
      </c>
      <c r="D267" t="s">
        <v>17</v>
      </c>
      <c r="E267" t="s">
        <v>20</v>
      </c>
      <c r="F267">
        <v>7.95</v>
      </c>
      <c r="G267">
        <v>0.88</v>
      </c>
      <c r="H267">
        <v>7.07</v>
      </c>
      <c r="I267">
        <v>6.82</v>
      </c>
      <c r="J267">
        <v>1</v>
      </c>
      <c r="K267">
        <v>6.7</v>
      </c>
      <c r="L267">
        <v>67.3</v>
      </c>
      <c r="M267">
        <v>126</v>
      </c>
      <c r="N267">
        <v>10.8</v>
      </c>
      <c r="O267">
        <v>31.8</v>
      </c>
    </row>
    <row r="268" spans="1:15" x14ac:dyDescent="0.3">
      <c r="A268" t="s">
        <v>292</v>
      </c>
      <c r="B268">
        <v>43</v>
      </c>
      <c r="C268" t="s">
        <v>16</v>
      </c>
      <c r="D268" t="s">
        <v>17</v>
      </c>
      <c r="E268" t="s">
        <v>18</v>
      </c>
      <c r="F268">
        <v>9.23</v>
      </c>
      <c r="G268">
        <v>6.1</v>
      </c>
      <c r="H268">
        <v>3.13</v>
      </c>
      <c r="I268">
        <v>8.1300000000000008</v>
      </c>
      <c r="J268">
        <v>2</v>
      </c>
      <c r="K268">
        <v>8.4</v>
      </c>
      <c r="L268">
        <v>52.2</v>
      </c>
      <c r="M268">
        <v>105</v>
      </c>
      <c r="N268">
        <v>8.6</v>
      </c>
      <c r="O268">
        <v>28.3</v>
      </c>
    </row>
    <row r="269" spans="1:15" x14ac:dyDescent="0.3">
      <c r="A269" t="s">
        <v>293</v>
      </c>
      <c r="B269">
        <v>18</v>
      </c>
      <c r="C269" t="s">
        <v>24</v>
      </c>
      <c r="D269" t="s">
        <v>17</v>
      </c>
      <c r="E269" t="s">
        <v>18</v>
      </c>
      <c r="F269">
        <v>9.1999999999999993</v>
      </c>
      <c r="G269">
        <v>2.5499999999999998</v>
      </c>
      <c r="H269">
        <v>6.65</v>
      </c>
      <c r="I269">
        <v>5.93</v>
      </c>
      <c r="J269">
        <v>1</v>
      </c>
      <c r="K269">
        <v>10</v>
      </c>
      <c r="L269">
        <v>39.799999999999997</v>
      </c>
      <c r="M269">
        <v>103</v>
      </c>
      <c r="N269">
        <v>8.5</v>
      </c>
      <c r="O269">
        <v>0</v>
      </c>
    </row>
    <row r="270" spans="1:15" x14ac:dyDescent="0.3">
      <c r="A270" t="s">
        <v>294</v>
      </c>
      <c r="B270">
        <v>26</v>
      </c>
      <c r="C270" t="s">
        <v>16</v>
      </c>
      <c r="D270" t="s">
        <v>26</v>
      </c>
      <c r="E270" t="s">
        <v>22</v>
      </c>
      <c r="F270">
        <v>11.55</v>
      </c>
      <c r="G270">
        <v>0.57999999999999996</v>
      </c>
      <c r="H270">
        <v>10.97</v>
      </c>
      <c r="I270">
        <v>6.98</v>
      </c>
      <c r="J270">
        <v>1</v>
      </c>
      <c r="K270">
        <v>9.3000000000000007</v>
      </c>
      <c r="L270">
        <v>56.2</v>
      </c>
      <c r="M270">
        <v>48</v>
      </c>
      <c r="N270">
        <v>7.2</v>
      </c>
      <c r="O270">
        <v>16.100000000000001</v>
      </c>
    </row>
    <row r="271" spans="1:15" x14ac:dyDescent="0.3">
      <c r="A271" t="s">
        <v>295</v>
      </c>
      <c r="B271">
        <v>31</v>
      </c>
      <c r="C271" t="s">
        <v>24</v>
      </c>
      <c r="D271" t="s">
        <v>29</v>
      </c>
      <c r="E271" t="s">
        <v>22</v>
      </c>
      <c r="F271">
        <v>6.15</v>
      </c>
      <c r="G271">
        <v>0.37</v>
      </c>
      <c r="H271">
        <v>5.78</v>
      </c>
      <c r="I271">
        <v>6.39</v>
      </c>
      <c r="J271">
        <v>1</v>
      </c>
      <c r="K271">
        <v>7.5</v>
      </c>
      <c r="L271">
        <v>64.599999999999994</v>
      </c>
      <c r="M271">
        <v>86</v>
      </c>
      <c r="N271">
        <v>9.3000000000000007</v>
      </c>
      <c r="O271">
        <v>19.399999999999999</v>
      </c>
    </row>
    <row r="272" spans="1:15" x14ac:dyDescent="0.3">
      <c r="A272" t="s">
        <v>296</v>
      </c>
      <c r="B272">
        <v>41</v>
      </c>
      <c r="C272" t="s">
        <v>24</v>
      </c>
      <c r="D272" t="s">
        <v>31</v>
      </c>
      <c r="E272" t="s">
        <v>18</v>
      </c>
      <c r="F272">
        <v>9.01</v>
      </c>
      <c r="G272">
        <v>2.73</v>
      </c>
      <c r="H272">
        <v>6.28</v>
      </c>
      <c r="I272">
        <v>8.01</v>
      </c>
      <c r="J272">
        <v>2</v>
      </c>
      <c r="K272">
        <v>6.8</v>
      </c>
      <c r="L272">
        <v>49</v>
      </c>
      <c r="M272">
        <v>130</v>
      </c>
      <c r="N272">
        <v>10.1</v>
      </c>
      <c r="O272">
        <v>31.8</v>
      </c>
    </row>
    <row r="273" spans="1:15" x14ac:dyDescent="0.3">
      <c r="A273" t="s">
        <v>297</v>
      </c>
      <c r="B273">
        <v>18</v>
      </c>
      <c r="C273" t="s">
        <v>24</v>
      </c>
      <c r="D273" t="s">
        <v>37</v>
      </c>
      <c r="E273" t="s">
        <v>18</v>
      </c>
      <c r="F273">
        <v>5.87</v>
      </c>
      <c r="G273">
        <v>3.68</v>
      </c>
      <c r="H273">
        <v>2.19</v>
      </c>
      <c r="I273">
        <v>7.19</v>
      </c>
      <c r="J273">
        <v>1</v>
      </c>
      <c r="K273">
        <v>5.9</v>
      </c>
      <c r="L273">
        <v>62.2</v>
      </c>
      <c r="M273">
        <v>183</v>
      </c>
      <c r="N273">
        <v>15.2</v>
      </c>
      <c r="O273">
        <v>29.6</v>
      </c>
    </row>
    <row r="274" spans="1:15" x14ac:dyDescent="0.3">
      <c r="A274" t="s">
        <v>298</v>
      </c>
      <c r="B274">
        <v>39</v>
      </c>
      <c r="C274" t="s">
        <v>24</v>
      </c>
      <c r="D274" t="s">
        <v>17</v>
      </c>
      <c r="E274" t="s">
        <v>18</v>
      </c>
      <c r="F274">
        <v>10.130000000000001</v>
      </c>
      <c r="G274">
        <v>5.13</v>
      </c>
      <c r="H274">
        <v>5</v>
      </c>
      <c r="I274">
        <v>7.99</v>
      </c>
      <c r="J274">
        <v>2</v>
      </c>
      <c r="K274">
        <v>7.7</v>
      </c>
      <c r="L274">
        <v>47.1</v>
      </c>
      <c r="M274">
        <v>60</v>
      </c>
      <c r="N274">
        <v>10.4</v>
      </c>
      <c r="O274">
        <v>23.7</v>
      </c>
    </row>
    <row r="275" spans="1:15" x14ac:dyDescent="0.3">
      <c r="A275" t="s">
        <v>299</v>
      </c>
      <c r="B275">
        <v>30</v>
      </c>
      <c r="C275" t="s">
        <v>24</v>
      </c>
      <c r="D275" t="s">
        <v>26</v>
      </c>
      <c r="E275" t="s">
        <v>20</v>
      </c>
      <c r="F275">
        <v>10.57</v>
      </c>
      <c r="G275">
        <v>0.53</v>
      </c>
      <c r="H275">
        <v>10.039999999999999</v>
      </c>
      <c r="I275">
        <v>7.21</v>
      </c>
      <c r="J275">
        <v>3</v>
      </c>
      <c r="K275">
        <v>7</v>
      </c>
      <c r="L275">
        <v>60.4</v>
      </c>
      <c r="M275">
        <v>34</v>
      </c>
      <c r="N275">
        <v>0.7</v>
      </c>
      <c r="O275">
        <v>44.1</v>
      </c>
    </row>
    <row r="276" spans="1:15" x14ac:dyDescent="0.3">
      <c r="A276" t="s">
        <v>300</v>
      </c>
      <c r="B276">
        <v>22</v>
      </c>
      <c r="C276" t="s">
        <v>24</v>
      </c>
      <c r="D276" t="s">
        <v>17</v>
      </c>
      <c r="E276" t="s">
        <v>18</v>
      </c>
      <c r="F276">
        <v>12.39</v>
      </c>
      <c r="G276">
        <v>5.27</v>
      </c>
      <c r="H276">
        <v>7.12</v>
      </c>
      <c r="I276">
        <v>5.48</v>
      </c>
      <c r="J276">
        <v>1</v>
      </c>
      <c r="K276">
        <v>10</v>
      </c>
      <c r="L276">
        <v>20.6</v>
      </c>
      <c r="M276">
        <v>123</v>
      </c>
      <c r="N276">
        <v>7.7</v>
      </c>
      <c r="O276">
        <v>0</v>
      </c>
    </row>
    <row r="277" spans="1:15" x14ac:dyDescent="0.3">
      <c r="A277" t="s">
        <v>301</v>
      </c>
      <c r="B277">
        <v>33</v>
      </c>
      <c r="C277" t="s">
        <v>16</v>
      </c>
      <c r="D277" t="s">
        <v>26</v>
      </c>
      <c r="E277" t="s">
        <v>18</v>
      </c>
      <c r="F277">
        <v>19.170000000000002</v>
      </c>
      <c r="G277">
        <v>12.04</v>
      </c>
      <c r="H277">
        <v>7.13</v>
      </c>
      <c r="I277">
        <v>6.69</v>
      </c>
      <c r="J277">
        <v>1</v>
      </c>
      <c r="K277">
        <v>10</v>
      </c>
      <c r="L277">
        <v>28.4</v>
      </c>
      <c r="M277">
        <v>42</v>
      </c>
      <c r="N277">
        <v>0</v>
      </c>
      <c r="O277">
        <v>0</v>
      </c>
    </row>
    <row r="278" spans="1:15" x14ac:dyDescent="0.3">
      <c r="A278" t="s">
        <v>302</v>
      </c>
      <c r="B278">
        <v>31</v>
      </c>
      <c r="C278" t="s">
        <v>24</v>
      </c>
      <c r="D278" t="s">
        <v>26</v>
      </c>
      <c r="E278" t="s">
        <v>18</v>
      </c>
      <c r="F278">
        <v>9.94</v>
      </c>
      <c r="G278">
        <v>1.1100000000000001</v>
      </c>
      <c r="H278">
        <v>8.83</v>
      </c>
      <c r="I278">
        <v>8.16</v>
      </c>
      <c r="J278">
        <v>2</v>
      </c>
      <c r="K278">
        <v>10</v>
      </c>
      <c r="L278">
        <v>42.2</v>
      </c>
      <c r="M278">
        <v>157</v>
      </c>
      <c r="N278">
        <v>0.8</v>
      </c>
      <c r="O278">
        <v>12.7</v>
      </c>
    </row>
    <row r="279" spans="1:15" x14ac:dyDescent="0.3">
      <c r="A279" t="s">
        <v>303</v>
      </c>
      <c r="B279">
        <v>25</v>
      </c>
      <c r="C279" t="s">
        <v>24</v>
      </c>
      <c r="D279" t="s">
        <v>17</v>
      </c>
      <c r="E279" t="s">
        <v>22</v>
      </c>
      <c r="F279">
        <v>4.47</v>
      </c>
      <c r="G279">
        <v>1.04</v>
      </c>
      <c r="H279">
        <v>3.43</v>
      </c>
      <c r="I279">
        <v>8.39</v>
      </c>
      <c r="J279">
        <v>3</v>
      </c>
      <c r="K279">
        <v>3.9</v>
      </c>
      <c r="L279">
        <v>88.1</v>
      </c>
      <c r="M279">
        <v>65</v>
      </c>
      <c r="N279">
        <v>9.8000000000000007</v>
      </c>
      <c r="O279">
        <v>80.5</v>
      </c>
    </row>
    <row r="280" spans="1:15" x14ac:dyDescent="0.3">
      <c r="A280" t="s">
        <v>304</v>
      </c>
      <c r="B280">
        <v>30</v>
      </c>
      <c r="C280" t="s">
        <v>16</v>
      </c>
      <c r="D280" t="s">
        <v>17</v>
      </c>
      <c r="E280" t="s">
        <v>18</v>
      </c>
      <c r="F280">
        <v>10.54</v>
      </c>
      <c r="G280">
        <v>6.2</v>
      </c>
      <c r="H280">
        <v>4.34</v>
      </c>
      <c r="I280">
        <v>6.21</v>
      </c>
      <c r="J280">
        <v>1</v>
      </c>
      <c r="K280">
        <v>8</v>
      </c>
      <c r="L280">
        <v>40.4</v>
      </c>
      <c r="M280">
        <v>0</v>
      </c>
      <c r="N280">
        <v>6</v>
      </c>
      <c r="O280">
        <v>3.7</v>
      </c>
    </row>
    <row r="281" spans="1:15" x14ac:dyDescent="0.3">
      <c r="A281" t="s">
        <v>305</v>
      </c>
      <c r="B281">
        <v>26</v>
      </c>
      <c r="C281" t="s">
        <v>24</v>
      </c>
      <c r="D281" t="s">
        <v>17</v>
      </c>
      <c r="E281" t="s">
        <v>22</v>
      </c>
      <c r="F281">
        <v>7.24</v>
      </c>
      <c r="G281">
        <v>0.67</v>
      </c>
      <c r="H281">
        <v>6.57</v>
      </c>
      <c r="I281">
        <v>7.03</v>
      </c>
      <c r="J281">
        <v>1</v>
      </c>
      <c r="K281">
        <v>8.4</v>
      </c>
      <c r="L281">
        <v>54</v>
      </c>
      <c r="M281">
        <v>75</v>
      </c>
      <c r="N281">
        <v>2.1</v>
      </c>
      <c r="O281">
        <v>26.5</v>
      </c>
    </row>
    <row r="282" spans="1:15" x14ac:dyDescent="0.3">
      <c r="A282" t="s">
        <v>306</v>
      </c>
      <c r="B282">
        <v>30</v>
      </c>
      <c r="C282" t="s">
        <v>24</v>
      </c>
      <c r="D282" t="s">
        <v>17</v>
      </c>
      <c r="E282" t="s">
        <v>18</v>
      </c>
      <c r="F282">
        <v>9.07</v>
      </c>
      <c r="G282">
        <v>3.61</v>
      </c>
      <c r="H282">
        <v>5.46</v>
      </c>
      <c r="I282">
        <v>7.16</v>
      </c>
      <c r="J282">
        <v>1</v>
      </c>
      <c r="K282">
        <v>10</v>
      </c>
      <c r="L282">
        <v>41.9</v>
      </c>
      <c r="M282">
        <v>50</v>
      </c>
      <c r="N282">
        <v>5.6</v>
      </c>
      <c r="O282">
        <v>12.8</v>
      </c>
    </row>
    <row r="283" spans="1:15" x14ac:dyDescent="0.3">
      <c r="A283" t="s">
        <v>307</v>
      </c>
      <c r="B283">
        <v>35</v>
      </c>
      <c r="C283" t="s">
        <v>24</v>
      </c>
      <c r="D283" t="s">
        <v>17</v>
      </c>
      <c r="E283" t="s">
        <v>20</v>
      </c>
      <c r="F283">
        <v>9.51</v>
      </c>
      <c r="G283">
        <v>1.26</v>
      </c>
      <c r="H283">
        <v>8.25</v>
      </c>
      <c r="I283">
        <v>6.46</v>
      </c>
      <c r="J283">
        <v>2</v>
      </c>
      <c r="K283">
        <v>7.1</v>
      </c>
      <c r="L283">
        <v>70.3</v>
      </c>
      <c r="M283">
        <v>98</v>
      </c>
      <c r="N283">
        <v>5.7</v>
      </c>
      <c r="O283">
        <v>35.200000000000003</v>
      </c>
    </row>
    <row r="284" spans="1:15" x14ac:dyDescent="0.3">
      <c r="A284" t="s">
        <v>308</v>
      </c>
      <c r="B284">
        <v>42</v>
      </c>
      <c r="C284" t="s">
        <v>16</v>
      </c>
      <c r="D284" t="s">
        <v>17</v>
      </c>
      <c r="E284" t="s">
        <v>18</v>
      </c>
      <c r="F284">
        <v>14.09</v>
      </c>
      <c r="G284">
        <v>7.1</v>
      </c>
      <c r="H284">
        <v>6.99</v>
      </c>
      <c r="I284">
        <v>7.76</v>
      </c>
      <c r="J284">
        <v>2</v>
      </c>
      <c r="K284">
        <v>10</v>
      </c>
      <c r="L284">
        <v>51.3</v>
      </c>
      <c r="M284">
        <v>35</v>
      </c>
      <c r="N284">
        <v>3.3</v>
      </c>
      <c r="O284">
        <v>10.4</v>
      </c>
    </row>
    <row r="285" spans="1:15" x14ac:dyDescent="0.3">
      <c r="A285" t="s">
        <v>309</v>
      </c>
      <c r="B285">
        <v>20</v>
      </c>
      <c r="C285" t="s">
        <v>16</v>
      </c>
      <c r="D285" t="s">
        <v>31</v>
      </c>
      <c r="E285" t="s">
        <v>22</v>
      </c>
      <c r="F285">
        <v>5.59</v>
      </c>
      <c r="G285">
        <v>1.48</v>
      </c>
      <c r="H285">
        <v>4.1100000000000003</v>
      </c>
      <c r="I285">
        <v>7.58</v>
      </c>
      <c r="J285">
        <v>2</v>
      </c>
      <c r="K285">
        <v>6.3</v>
      </c>
      <c r="L285">
        <v>75.099999999999994</v>
      </c>
      <c r="M285">
        <v>171</v>
      </c>
      <c r="N285">
        <v>13.4</v>
      </c>
      <c r="O285">
        <v>39.4</v>
      </c>
    </row>
    <row r="286" spans="1:15" x14ac:dyDescent="0.3">
      <c r="A286" t="s">
        <v>310</v>
      </c>
      <c r="B286">
        <v>47</v>
      </c>
      <c r="C286" t="s">
        <v>28</v>
      </c>
      <c r="D286" t="s">
        <v>17</v>
      </c>
      <c r="E286" t="s">
        <v>20</v>
      </c>
      <c r="F286">
        <v>2.44</v>
      </c>
      <c r="G286">
        <v>0.28999999999999998</v>
      </c>
      <c r="H286">
        <v>2.15</v>
      </c>
      <c r="I286">
        <v>6.04</v>
      </c>
      <c r="J286">
        <v>1</v>
      </c>
      <c r="K286">
        <v>6.7</v>
      </c>
      <c r="L286">
        <v>65.599999999999994</v>
      </c>
      <c r="M286">
        <v>132</v>
      </c>
      <c r="N286">
        <v>16.100000000000001</v>
      </c>
      <c r="O286">
        <v>28.4</v>
      </c>
    </row>
    <row r="287" spans="1:15" x14ac:dyDescent="0.3">
      <c r="A287" t="s">
        <v>311</v>
      </c>
      <c r="B287">
        <v>16</v>
      </c>
      <c r="C287" t="s">
        <v>24</v>
      </c>
      <c r="D287" t="s">
        <v>17</v>
      </c>
      <c r="E287" t="s">
        <v>22</v>
      </c>
      <c r="F287">
        <v>8.3800000000000008</v>
      </c>
      <c r="G287">
        <v>0.42</v>
      </c>
      <c r="H287">
        <v>7.96</v>
      </c>
      <c r="I287">
        <v>7.27</v>
      </c>
      <c r="J287">
        <v>2</v>
      </c>
      <c r="K287">
        <v>6.9</v>
      </c>
      <c r="L287">
        <v>75.7</v>
      </c>
      <c r="M287">
        <v>111</v>
      </c>
      <c r="N287">
        <v>5.0999999999999996</v>
      </c>
      <c r="O287">
        <v>30.9</v>
      </c>
    </row>
    <row r="288" spans="1:15" x14ac:dyDescent="0.3">
      <c r="A288" t="s">
        <v>312</v>
      </c>
      <c r="B288">
        <v>28</v>
      </c>
      <c r="C288" t="s">
        <v>16</v>
      </c>
      <c r="D288" t="s">
        <v>26</v>
      </c>
      <c r="E288" t="s">
        <v>18</v>
      </c>
      <c r="F288">
        <v>9.26</v>
      </c>
      <c r="G288">
        <v>3.6</v>
      </c>
      <c r="H288">
        <v>5.66</v>
      </c>
      <c r="I288">
        <v>6.71</v>
      </c>
      <c r="J288">
        <v>1</v>
      </c>
      <c r="K288">
        <v>7.8</v>
      </c>
      <c r="L288">
        <v>43.6</v>
      </c>
      <c r="M288">
        <v>112</v>
      </c>
      <c r="N288">
        <v>5.8</v>
      </c>
      <c r="O288">
        <v>13.5</v>
      </c>
    </row>
    <row r="289" spans="1:15" x14ac:dyDescent="0.3">
      <c r="A289" t="s">
        <v>313</v>
      </c>
      <c r="B289">
        <v>34</v>
      </c>
      <c r="C289" t="s">
        <v>24</v>
      </c>
      <c r="D289" t="s">
        <v>17</v>
      </c>
      <c r="E289" t="s">
        <v>22</v>
      </c>
      <c r="F289">
        <v>12.73</v>
      </c>
      <c r="G289">
        <v>2.63</v>
      </c>
      <c r="H289">
        <v>10.1</v>
      </c>
      <c r="I289">
        <v>6.47</v>
      </c>
      <c r="J289">
        <v>1</v>
      </c>
      <c r="K289">
        <v>10</v>
      </c>
      <c r="L289">
        <v>30.5</v>
      </c>
      <c r="M289">
        <v>97</v>
      </c>
      <c r="N289">
        <v>0</v>
      </c>
      <c r="O289">
        <v>6.4</v>
      </c>
    </row>
    <row r="290" spans="1:15" x14ac:dyDescent="0.3">
      <c r="A290" t="s">
        <v>314</v>
      </c>
      <c r="B290">
        <v>32</v>
      </c>
      <c r="C290" t="s">
        <v>24</v>
      </c>
      <c r="D290" t="s">
        <v>17</v>
      </c>
      <c r="E290" t="s">
        <v>22</v>
      </c>
      <c r="F290">
        <v>10.199999999999999</v>
      </c>
      <c r="G290">
        <v>0.51</v>
      </c>
      <c r="H290">
        <v>9.69</v>
      </c>
      <c r="I290">
        <v>6.6</v>
      </c>
      <c r="J290">
        <v>1</v>
      </c>
      <c r="K290">
        <v>10</v>
      </c>
      <c r="L290">
        <v>42.2</v>
      </c>
      <c r="M290">
        <v>96</v>
      </c>
      <c r="N290">
        <v>12.5</v>
      </c>
      <c r="O290">
        <v>0</v>
      </c>
    </row>
    <row r="291" spans="1:15" x14ac:dyDescent="0.3">
      <c r="A291" t="s">
        <v>315</v>
      </c>
      <c r="B291">
        <v>25</v>
      </c>
      <c r="C291" t="s">
        <v>16</v>
      </c>
      <c r="D291" t="s">
        <v>26</v>
      </c>
      <c r="E291" t="s">
        <v>22</v>
      </c>
      <c r="F291">
        <v>11.67</v>
      </c>
      <c r="G291">
        <v>2.83</v>
      </c>
      <c r="H291">
        <v>8.84</v>
      </c>
      <c r="I291">
        <v>7.25</v>
      </c>
      <c r="J291">
        <v>1</v>
      </c>
      <c r="K291">
        <v>8.6</v>
      </c>
      <c r="L291">
        <v>59.6</v>
      </c>
      <c r="M291">
        <v>121</v>
      </c>
      <c r="N291">
        <v>7.1</v>
      </c>
      <c r="O291">
        <v>15.2</v>
      </c>
    </row>
    <row r="292" spans="1:15" x14ac:dyDescent="0.3">
      <c r="A292" t="s">
        <v>316</v>
      </c>
      <c r="B292">
        <v>28</v>
      </c>
      <c r="C292" t="s">
        <v>24</v>
      </c>
      <c r="D292" t="s">
        <v>26</v>
      </c>
      <c r="E292" t="s">
        <v>20</v>
      </c>
      <c r="F292">
        <v>9.75</v>
      </c>
      <c r="G292">
        <v>2.5099999999999998</v>
      </c>
      <c r="H292">
        <v>7.24</v>
      </c>
      <c r="I292">
        <v>7.81</v>
      </c>
      <c r="J292">
        <v>2</v>
      </c>
      <c r="K292">
        <v>5.5</v>
      </c>
      <c r="L292">
        <v>66.2</v>
      </c>
      <c r="M292">
        <v>43</v>
      </c>
      <c r="N292">
        <v>5.3</v>
      </c>
      <c r="O292">
        <v>30.6</v>
      </c>
    </row>
    <row r="293" spans="1:15" x14ac:dyDescent="0.3">
      <c r="A293" t="s">
        <v>317</v>
      </c>
      <c r="B293">
        <v>26</v>
      </c>
      <c r="C293" t="s">
        <v>16</v>
      </c>
      <c r="D293" t="s">
        <v>17</v>
      </c>
      <c r="E293" t="s">
        <v>22</v>
      </c>
      <c r="F293">
        <v>5.03</v>
      </c>
      <c r="G293">
        <v>0.89</v>
      </c>
      <c r="H293">
        <v>4.1399999999999997</v>
      </c>
      <c r="I293">
        <v>7.83</v>
      </c>
      <c r="J293">
        <v>1</v>
      </c>
      <c r="K293">
        <v>6.2</v>
      </c>
      <c r="L293">
        <v>64.599999999999994</v>
      </c>
      <c r="M293">
        <v>224</v>
      </c>
      <c r="N293">
        <v>12.7</v>
      </c>
      <c r="O293">
        <v>35.4</v>
      </c>
    </row>
    <row r="294" spans="1:15" x14ac:dyDescent="0.3">
      <c r="A294" t="s">
        <v>318</v>
      </c>
      <c r="B294">
        <v>25</v>
      </c>
      <c r="C294" t="s">
        <v>16</v>
      </c>
      <c r="D294" t="s">
        <v>17</v>
      </c>
      <c r="E294" t="s">
        <v>22</v>
      </c>
      <c r="F294">
        <v>8.8800000000000008</v>
      </c>
      <c r="G294">
        <v>0.44</v>
      </c>
      <c r="H294">
        <v>8.44</v>
      </c>
      <c r="I294">
        <v>6.75</v>
      </c>
      <c r="J294">
        <v>1</v>
      </c>
      <c r="K294">
        <v>8.4</v>
      </c>
      <c r="L294">
        <v>42.4</v>
      </c>
      <c r="M294">
        <v>86</v>
      </c>
      <c r="N294">
        <v>7.3</v>
      </c>
      <c r="O294">
        <v>11.4</v>
      </c>
    </row>
    <row r="295" spans="1:15" x14ac:dyDescent="0.3">
      <c r="A295" t="s">
        <v>319</v>
      </c>
      <c r="B295">
        <v>36</v>
      </c>
      <c r="C295" t="s">
        <v>16</v>
      </c>
      <c r="D295" t="s">
        <v>17</v>
      </c>
      <c r="E295" t="s">
        <v>20</v>
      </c>
      <c r="F295">
        <v>11.12</v>
      </c>
      <c r="G295">
        <v>1.17</v>
      </c>
      <c r="H295">
        <v>9.9499999999999993</v>
      </c>
      <c r="I295">
        <v>6.76</v>
      </c>
      <c r="J295">
        <v>1</v>
      </c>
      <c r="K295">
        <v>10</v>
      </c>
      <c r="L295">
        <v>47</v>
      </c>
      <c r="M295">
        <v>2</v>
      </c>
      <c r="N295">
        <v>3.1</v>
      </c>
      <c r="O295">
        <v>2</v>
      </c>
    </row>
    <row r="296" spans="1:15" x14ac:dyDescent="0.3">
      <c r="A296" t="s">
        <v>320</v>
      </c>
      <c r="B296">
        <v>32</v>
      </c>
      <c r="C296" t="s">
        <v>24</v>
      </c>
      <c r="D296" t="s">
        <v>37</v>
      </c>
      <c r="E296" t="s">
        <v>22</v>
      </c>
      <c r="F296">
        <v>5.35</v>
      </c>
      <c r="G296">
        <v>0.31</v>
      </c>
      <c r="H296">
        <v>5.04</v>
      </c>
      <c r="I296">
        <v>7.63</v>
      </c>
      <c r="J296">
        <v>2</v>
      </c>
      <c r="K296">
        <v>6.5</v>
      </c>
      <c r="L296">
        <v>75.7</v>
      </c>
      <c r="M296">
        <v>140</v>
      </c>
      <c r="N296">
        <v>10.6</v>
      </c>
      <c r="O296">
        <v>40.700000000000003</v>
      </c>
    </row>
    <row r="297" spans="1:15" x14ac:dyDescent="0.3">
      <c r="A297" t="s">
        <v>321</v>
      </c>
      <c r="B297">
        <v>24</v>
      </c>
      <c r="C297" t="s">
        <v>16</v>
      </c>
      <c r="D297" t="s">
        <v>26</v>
      </c>
      <c r="E297" t="s">
        <v>18</v>
      </c>
      <c r="F297">
        <v>10.38</v>
      </c>
      <c r="G297">
        <v>4.83</v>
      </c>
      <c r="H297">
        <v>5.55</v>
      </c>
      <c r="I297">
        <v>6.14</v>
      </c>
      <c r="J297">
        <v>1</v>
      </c>
      <c r="K297">
        <v>9.5</v>
      </c>
      <c r="L297">
        <v>49.2</v>
      </c>
      <c r="M297">
        <v>33</v>
      </c>
      <c r="N297">
        <v>1.8</v>
      </c>
      <c r="O297">
        <v>4</v>
      </c>
    </row>
    <row r="298" spans="1:15" x14ac:dyDescent="0.3">
      <c r="A298" t="s">
        <v>322</v>
      </c>
      <c r="B298">
        <v>37</v>
      </c>
      <c r="C298" t="s">
        <v>16</v>
      </c>
      <c r="D298" t="s">
        <v>17</v>
      </c>
      <c r="E298" t="s">
        <v>22</v>
      </c>
      <c r="F298">
        <v>10.79</v>
      </c>
      <c r="G298">
        <v>0.54</v>
      </c>
      <c r="H298">
        <v>10.25</v>
      </c>
      <c r="I298">
        <v>7.31</v>
      </c>
      <c r="J298">
        <v>1</v>
      </c>
      <c r="K298">
        <v>7.8</v>
      </c>
      <c r="L298">
        <v>46.8</v>
      </c>
      <c r="M298">
        <v>143</v>
      </c>
      <c r="N298">
        <v>5.9</v>
      </c>
      <c r="O298">
        <v>19.100000000000001</v>
      </c>
    </row>
    <row r="299" spans="1:15" x14ac:dyDescent="0.3">
      <c r="A299" t="s">
        <v>323</v>
      </c>
      <c r="B299">
        <v>32</v>
      </c>
      <c r="C299" t="s">
        <v>16</v>
      </c>
      <c r="D299" t="s">
        <v>37</v>
      </c>
      <c r="E299" t="s">
        <v>20</v>
      </c>
      <c r="F299">
        <v>7.38</v>
      </c>
      <c r="G299">
        <v>1.53</v>
      </c>
      <c r="H299">
        <v>5.85</v>
      </c>
      <c r="I299">
        <v>7.68</v>
      </c>
      <c r="J299">
        <v>2</v>
      </c>
      <c r="K299">
        <v>9.8000000000000007</v>
      </c>
      <c r="L299">
        <v>49.5</v>
      </c>
      <c r="M299">
        <v>269</v>
      </c>
      <c r="N299">
        <v>6.9</v>
      </c>
      <c r="O299">
        <v>18.100000000000001</v>
      </c>
    </row>
    <row r="300" spans="1:15" x14ac:dyDescent="0.3">
      <c r="A300" t="s">
        <v>324</v>
      </c>
      <c r="B300">
        <v>36</v>
      </c>
      <c r="C300" t="s">
        <v>24</v>
      </c>
      <c r="D300" t="s">
        <v>17</v>
      </c>
      <c r="E300" t="s">
        <v>18</v>
      </c>
      <c r="F300">
        <v>10.130000000000001</v>
      </c>
      <c r="G300">
        <v>2.61</v>
      </c>
      <c r="H300">
        <v>7.52</v>
      </c>
      <c r="I300">
        <v>8.17</v>
      </c>
      <c r="J300">
        <v>1</v>
      </c>
      <c r="K300">
        <v>8.6</v>
      </c>
      <c r="L300">
        <v>40.6</v>
      </c>
      <c r="M300">
        <v>45</v>
      </c>
      <c r="N300">
        <v>7.3</v>
      </c>
      <c r="O300">
        <v>9</v>
      </c>
    </row>
    <row r="301" spans="1:15" x14ac:dyDescent="0.3">
      <c r="A301" t="s">
        <v>325</v>
      </c>
      <c r="B301">
        <v>35</v>
      </c>
      <c r="C301" t="s">
        <v>24</v>
      </c>
      <c r="D301" t="s">
        <v>17</v>
      </c>
      <c r="E301" t="s">
        <v>22</v>
      </c>
      <c r="F301">
        <v>6.4</v>
      </c>
      <c r="G301">
        <v>0.54</v>
      </c>
      <c r="H301">
        <v>5.86</v>
      </c>
      <c r="I301">
        <v>8.49</v>
      </c>
      <c r="J301">
        <v>1</v>
      </c>
      <c r="K301">
        <v>5.5</v>
      </c>
      <c r="L301">
        <v>66.900000000000006</v>
      </c>
      <c r="M301">
        <v>145</v>
      </c>
      <c r="N301">
        <v>8.6</v>
      </c>
      <c r="O301">
        <v>36.9</v>
      </c>
    </row>
    <row r="302" spans="1:15" x14ac:dyDescent="0.3">
      <c r="A302" t="s">
        <v>326</v>
      </c>
      <c r="B302">
        <v>23</v>
      </c>
      <c r="C302" t="s">
        <v>16</v>
      </c>
      <c r="D302" t="s">
        <v>17</v>
      </c>
      <c r="E302" t="s">
        <v>18</v>
      </c>
      <c r="F302">
        <v>8.6199999999999992</v>
      </c>
      <c r="G302">
        <v>3.15</v>
      </c>
      <c r="H302">
        <v>5.47</v>
      </c>
      <c r="I302">
        <v>6.49</v>
      </c>
      <c r="J302">
        <v>1</v>
      </c>
      <c r="K302">
        <v>10</v>
      </c>
      <c r="L302">
        <v>38.6</v>
      </c>
      <c r="M302">
        <v>0</v>
      </c>
      <c r="N302">
        <v>15.5</v>
      </c>
      <c r="O302">
        <v>4.9000000000000004</v>
      </c>
    </row>
    <row r="303" spans="1:15" x14ac:dyDescent="0.3">
      <c r="A303" t="s">
        <v>327</v>
      </c>
      <c r="B303">
        <v>25</v>
      </c>
      <c r="C303" t="s">
        <v>16</v>
      </c>
      <c r="D303" t="s">
        <v>17</v>
      </c>
      <c r="E303" t="s">
        <v>22</v>
      </c>
      <c r="F303">
        <v>11.05</v>
      </c>
      <c r="G303">
        <v>0.81</v>
      </c>
      <c r="H303">
        <v>10.24</v>
      </c>
      <c r="I303">
        <v>7.35</v>
      </c>
      <c r="J303">
        <v>1</v>
      </c>
      <c r="K303">
        <v>10</v>
      </c>
      <c r="L303">
        <v>34.4</v>
      </c>
      <c r="M303">
        <v>121</v>
      </c>
      <c r="N303">
        <v>6.4</v>
      </c>
      <c r="O303">
        <v>3.6</v>
      </c>
    </row>
    <row r="304" spans="1:15" x14ac:dyDescent="0.3">
      <c r="A304" t="s">
        <v>328</v>
      </c>
      <c r="B304">
        <v>35</v>
      </c>
      <c r="C304" t="s">
        <v>24</v>
      </c>
      <c r="D304" t="s">
        <v>31</v>
      </c>
      <c r="E304" t="s">
        <v>18</v>
      </c>
      <c r="F304">
        <v>8.5500000000000007</v>
      </c>
      <c r="G304">
        <v>2.65</v>
      </c>
      <c r="H304">
        <v>5.9</v>
      </c>
      <c r="I304">
        <v>6.41</v>
      </c>
      <c r="J304">
        <v>1</v>
      </c>
      <c r="K304">
        <v>8.6999999999999993</v>
      </c>
      <c r="L304">
        <v>47.8</v>
      </c>
      <c r="M304">
        <v>47</v>
      </c>
      <c r="N304">
        <v>0</v>
      </c>
      <c r="O304">
        <v>10.7</v>
      </c>
    </row>
    <row r="305" spans="1:15" x14ac:dyDescent="0.3">
      <c r="A305" t="s">
        <v>329</v>
      </c>
      <c r="B305">
        <v>34</v>
      </c>
      <c r="C305" t="s">
        <v>16</v>
      </c>
      <c r="D305" t="s">
        <v>17</v>
      </c>
      <c r="E305" t="s">
        <v>22</v>
      </c>
      <c r="F305">
        <v>10.36</v>
      </c>
      <c r="G305">
        <v>0.52</v>
      </c>
      <c r="H305">
        <v>9.84</v>
      </c>
      <c r="I305">
        <v>7.44</v>
      </c>
      <c r="J305">
        <v>2</v>
      </c>
      <c r="K305">
        <v>9.8000000000000007</v>
      </c>
      <c r="L305">
        <v>46.3</v>
      </c>
      <c r="M305">
        <v>54</v>
      </c>
      <c r="N305">
        <v>0</v>
      </c>
      <c r="O305">
        <v>20.7</v>
      </c>
    </row>
    <row r="306" spans="1:15" x14ac:dyDescent="0.3">
      <c r="A306" t="s">
        <v>330</v>
      </c>
      <c r="B306">
        <v>29</v>
      </c>
      <c r="C306" t="s">
        <v>16</v>
      </c>
      <c r="D306" t="s">
        <v>29</v>
      </c>
      <c r="E306" t="s">
        <v>22</v>
      </c>
      <c r="F306">
        <v>6.82</v>
      </c>
      <c r="G306">
        <v>0.98</v>
      </c>
      <c r="H306">
        <v>5.84</v>
      </c>
      <c r="I306">
        <v>6.95</v>
      </c>
      <c r="J306">
        <v>1</v>
      </c>
      <c r="K306">
        <v>9.1</v>
      </c>
      <c r="L306">
        <v>48.1</v>
      </c>
      <c r="M306">
        <v>39</v>
      </c>
      <c r="N306">
        <v>8.1999999999999993</v>
      </c>
      <c r="O306">
        <v>10</v>
      </c>
    </row>
    <row r="307" spans="1:15" x14ac:dyDescent="0.3">
      <c r="A307" t="s">
        <v>331</v>
      </c>
      <c r="B307">
        <v>30</v>
      </c>
      <c r="C307" t="s">
        <v>16</v>
      </c>
      <c r="D307" t="s">
        <v>26</v>
      </c>
      <c r="E307" t="s">
        <v>18</v>
      </c>
      <c r="F307">
        <v>12.63</v>
      </c>
      <c r="G307">
        <v>1.68</v>
      </c>
      <c r="H307">
        <v>10.95</v>
      </c>
      <c r="I307">
        <v>5.69</v>
      </c>
      <c r="J307">
        <v>1</v>
      </c>
      <c r="K307">
        <v>10</v>
      </c>
      <c r="L307">
        <v>41.9</v>
      </c>
      <c r="M307">
        <v>133</v>
      </c>
      <c r="N307">
        <v>1.9</v>
      </c>
      <c r="O307">
        <v>10.7</v>
      </c>
    </row>
    <row r="308" spans="1:15" x14ac:dyDescent="0.3">
      <c r="A308" t="s">
        <v>332</v>
      </c>
      <c r="B308">
        <v>40</v>
      </c>
      <c r="C308" t="s">
        <v>16</v>
      </c>
      <c r="D308" t="s">
        <v>26</v>
      </c>
      <c r="E308" t="s">
        <v>22</v>
      </c>
      <c r="F308">
        <v>10.07</v>
      </c>
      <c r="G308">
        <v>1.71</v>
      </c>
      <c r="H308">
        <v>8.36</v>
      </c>
      <c r="I308">
        <v>7.21</v>
      </c>
      <c r="J308">
        <v>1</v>
      </c>
      <c r="K308">
        <v>10</v>
      </c>
      <c r="L308">
        <v>43.4</v>
      </c>
      <c r="M308">
        <v>173</v>
      </c>
      <c r="N308">
        <v>6.5</v>
      </c>
      <c r="O308">
        <v>8.1</v>
      </c>
    </row>
    <row r="309" spans="1:15" x14ac:dyDescent="0.3">
      <c r="A309" t="s">
        <v>333</v>
      </c>
      <c r="B309">
        <v>25</v>
      </c>
      <c r="C309" t="s">
        <v>16</v>
      </c>
      <c r="D309" t="s">
        <v>26</v>
      </c>
      <c r="E309" t="s">
        <v>20</v>
      </c>
      <c r="F309">
        <v>10.44</v>
      </c>
      <c r="G309">
        <v>1.87</v>
      </c>
      <c r="H309">
        <v>8.57</v>
      </c>
      <c r="I309">
        <v>4.6399999999999997</v>
      </c>
      <c r="J309">
        <v>1</v>
      </c>
      <c r="K309">
        <v>7.1</v>
      </c>
      <c r="L309">
        <v>52.2</v>
      </c>
      <c r="M309">
        <v>94</v>
      </c>
      <c r="N309">
        <v>5.5</v>
      </c>
      <c r="O309">
        <v>9.4</v>
      </c>
    </row>
    <row r="310" spans="1:15" x14ac:dyDescent="0.3">
      <c r="A310" t="s">
        <v>334</v>
      </c>
      <c r="B310">
        <v>34</v>
      </c>
      <c r="C310" t="s">
        <v>16</v>
      </c>
      <c r="D310" t="s">
        <v>17</v>
      </c>
      <c r="E310" t="s">
        <v>20</v>
      </c>
      <c r="F310">
        <v>7.77</v>
      </c>
      <c r="G310">
        <v>1.38</v>
      </c>
      <c r="H310">
        <v>6.39</v>
      </c>
      <c r="I310">
        <v>5.87</v>
      </c>
      <c r="J310">
        <v>1</v>
      </c>
      <c r="K310">
        <v>9.4</v>
      </c>
      <c r="L310">
        <v>49.8</v>
      </c>
      <c r="M310">
        <v>53</v>
      </c>
      <c r="N310">
        <v>5.6</v>
      </c>
      <c r="O310">
        <v>14.8</v>
      </c>
    </row>
    <row r="311" spans="1:15" x14ac:dyDescent="0.3">
      <c r="A311" t="s">
        <v>335</v>
      </c>
      <c r="B311">
        <v>28</v>
      </c>
      <c r="C311" t="s">
        <v>16</v>
      </c>
      <c r="D311" t="s">
        <v>17</v>
      </c>
      <c r="E311" t="s">
        <v>18</v>
      </c>
      <c r="F311">
        <v>8.4499999999999993</v>
      </c>
      <c r="G311">
        <v>2.96</v>
      </c>
      <c r="H311">
        <v>5.49</v>
      </c>
      <c r="I311">
        <v>6.97</v>
      </c>
      <c r="J311">
        <v>2</v>
      </c>
      <c r="K311">
        <v>6.3</v>
      </c>
      <c r="L311">
        <v>60.2</v>
      </c>
      <c r="M311">
        <v>218</v>
      </c>
      <c r="N311">
        <v>0</v>
      </c>
      <c r="O311">
        <v>39.6</v>
      </c>
    </row>
    <row r="312" spans="1:15" x14ac:dyDescent="0.3">
      <c r="A312" t="s">
        <v>336</v>
      </c>
      <c r="B312">
        <v>28</v>
      </c>
      <c r="C312" t="s">
        <v>24</v>
      </c>
      <c r="D312" t="s">
        <v>29</v>
      </c>
      <c r="E312" t="s">
        <v>18</v>
      </c>
      <c r="F312">
        <v>7.77</v>
      </c>
      <c r="G312">
        <v>3.57</v>
      </c>
      <c r="H312">
        <v>4.2</v>
      </c>
      <c r="I312">
        <v>7.28</v>
      </c>
      <c r="J312">
        <v>2</v>
      </c>
      <c r="K312">
        <v>9.1</v>
      </c>
      <c r="L312">
        <v>56.6</v>
      </c>
      <c r="M312">
        <v>58</v>
      </c>
      <c r="N312">
        <v>5.7</v>
      </c>
      <c r="O312">
        <v>19</v>
      </c>
    </row>
    <row r="313" spans="1:15" x14ac:dyDescent="0.3">
      <c r="A313" t="s">
        <v>337</v>
      </c>
      <c r="B313">
        <v>38</v>
      </c>
      <c r="C313" t="s">
        <v>16</v>
      </c>
      <c r="D313" t="s">
        <v>17</v>
      </c>
      <c r="E313" t="s">
        <v>18</v>
      </c>
      <c r="F313">
        <v>8.56</v>
      </c>
      <c r="G313">
        <v>3.17</v>
      </c>
      <c r="H313">
        <v>5.39</v>
      </c>
      <c r="I313">
        <v>6.9</v>
      </c>
      <c r="J313">
        <v>1</v>
      </c>
      <c r="K313">
        <v>9.1</v>
      </c>
      <c r="L313">
        <v>49.7</v>
      </c>
      <c r="M313">
        <v>0</v>
      </c>
      <c r="N313">
        <v>11.4</v>
      </c>
      <c r="O313">
        <v>8.8000000000000007</v>
      </c>
    </row>
    <row r="314" spans="1:15" x14ac:dyDescent="0.3">
      <c r="A314" t="s">
        <v>338</v>
      </c>
      <c r="B314">
        <v>36</v>
      </c>
      <c r="C314" t="s">
        <v>24</v>
      </c>
      <c r="D314" t="s">
        <v>37</v>
      </c>
      <c r="E314" t="s">
        <v>20</v>
      </c>
      <c r="F314">
        <v>5.18</v>
      </c>
      <c r="G314">
        <v>0.73</v>
      </c>
      <c r="H314">
        <v>4.45</v>
      </c>
      <c r="I314">
        <v>6.42</v>
      </c>
      <c r="J314">
        <v>1</v>
      </c>
      <c r="K314">
        <v>5.0999999999999996</v>
      </c>
      <c r="L314">
        <v>60.8</v>
      </c>
      <c r="M314">
        <v>162</v>
      </c>
      <c r="N314">
        <v>8.1999999999999993</v>
      </c>
      <c r="O314">
        <v>33.6</v>
      </c>
    </row>
    <row r="315" spans="1:15" x14ac:dyDescent="0.3">
      <c r="A315" t="s">
        <v>339</v>
      </c>
      <c r="B315">
        <v>36</v>
      </c>
      <c r="C315" t="s">
        <v>24</v>
      </c>
      <c r="D315" t="s">
        <v>26</v>
      </c>
      <c r="E315" t="s">
        <v>20</v>
      </c>
      <c r="F315">
        <v>9.5500000000000007</v>
      </c>
      <c r="G315">
        <v>1.33</v>
      </c>
      <c r="H315">
        <v>8.2200000000000006</v>
      </c>
      <c r="I315">
        <v>6.37</v>
      </c>
      <c r="J315">
        <v>1</v>
      </c>
      <c r="K315">
        <v>10</v>
      </c>
      <c r="L315">
        <v>49.6</v>
      </c>
      <c r="M315">
        <v>26</v>
      </c>
      <c r="N315">
        <v>0</v>
      </c>
      <c r="O315">
        <v>4.5999999999999996</v>
      </c>
    </row>
    <row r="316" spans="1:15" x14ac:dyDescent="0.3">
      <c r="A316" t="s">
        <v>340</v>
      </c>
      <c r="B316">
        <v>40</v>
      </c>
      <c r="C316" t="s">
        <v>16</v>
      </c>
      <c r="D316" t="s">
        <v>29</v>
      </c>
      <c r="E316" t="s">
        <v>22</v>
      </c>
      <c r="F316">
        <v>9.73</v>
      </c>
      <c r="G316">
        <v>1.55</v>
      </c>
      <c r="H316">
        <v>8.18</v>
      </c>
      <c r="I316">
        <v>7.35</v>
      </c>
      <c r="J316">
        <v>1</v>
      </c>
      <c r="K316">
        <v>10</v>
      </c>
      <c r="L316">
        <v>38.1</v>
      </c>
      <c r="M316">
        <v>174</v>
      </c>
      <c r="N316">
        <v>7.8</v>
      </c>
      <c r="O316">
        <v>0</v>
      </c>
    </row>
    <row r="317" spans="1:15" x14ac:dyDescent="0.3">
      <c r="A317" t="s">
        <v>341</v>
      </c>
      <c r="B317">
        <v>30</v>
      </c>
      <c r="C317" t="s">
        <v>24</v>
      </c>
      <c r="D317" t="s">
        <v>17</v>
      </c>
      <c r="E317" t="s">
        <v>20</v>
      </c>
      <c r="F317">
        <v>6.71</v>
      </c>
      <c r="G317">
        <v>1.59</v>
      </c>
      <c r="H317">
        <v>5.12</v>
      </c>
      <c r="I317">
        <v>7.86</v>
      </c>
      <c r="J317">
        <v>1</v>
      </c>
      <c r="K317">
        <v>8.3000000000000007</v>
      </c>
      <c r="L317">
        <v>55.3</v>
      </c>
      <c r="M317">
        <v>91</v>
      </c>
      <c r="N317">
        <v>16.2</v>
      </c>
      <c r="O317">
        <v>23.3</v>
      </c>
    </row>
    <row r="318" spans="1:15" x14ac:dyDescent="0.3">
      <c r="A318" t="s">
        <v>342</v>
      </c>
      <c r="B318">
        <v>35</v>
      </c>
      <c r="C318" t="s">
        <v>16</v>
      </c>
      <c r="D318" t="s">
        <v>17</v>
      </c>
      <c r="E318" t="s">
        <v>22</v>
      </c>
      <c r="F318">
        <v>7.17</v>
      </c>
      <c r="G318">
        <v>1.87</v>
      </c>
      <c r="H318">
        <v>5.3</v>
      </c>
      <c r="I318">
        <v>7.36</v>
      </c>
      <c r="J318">
        <v>2</v>
      </c>
      <c r="K318">
        <v>5</v>
      </c>
      <c r="L318">
        <v>80.2</v>
      </c>
      <c r="M318">
        <v>160</v>
      </c>
      <c r="N318">
        <v>9.1999999999999993</v>
      </c>
      <c r="O318">
        <v>51.1</v>
      </c>
    </row>
    <row r="319" spans="1:15" x14ac:dyDescent="0.3">
      <c r="A319" t="s">
        <v>343</v>
      </c>
      <c r="B319">
        <v>27</v>
      </c>
      <c r="C319" t="s">
        <v>24</v>
      </c>
      <c r="D319" t="s">
        <v>29</v>
      </c>
      <c r="E319" t="s">
        <v>22</v>
      </c>
      <c r="F319">
        <v>7.77</v>
      </c>
      <c r="G319">
        <v>0.39</v>
      </c>
      <c r="H319">
        <v>7.38</v>
      </c>
      <c r="I319">
        <v>8.1300000000000008</v>
      </c>
      <c r="J319">
        <v>2</v>
      </c>
      <c r="K319">
        <v>6.3</v>
      </c>
      <c r="L319">
        <v>72.7</v>
      </c>
      <c r="M319">
        <v>208</v>
      </c>
      <c r="N319">
        <v>0</v>
      </c>
      <c r="O319">
        <v>41.2</v>
      </c>
    </row>
    <row r="320" spans="1:15" x14ac:dyDescent="0.3">
      <c r="A320" t="s">
        <v>344</v>
      </c>
      <c r="B320">
        <v>32</v>
      </c>
      <c r="C320" t="s">
        <v>16</v>
      </c>
      <c r="D320" t="s">
        <v>17</v>
      </c>
      <c r="E320" t="s">
        <v>18</v>
      </c>
      <c r="F320">
        <v>11.71</v>
      </c>
      <c r="G320">
        <v>3.83</v>
      </c>
      <c r="H320">
        <v>7.88</v>
      </c>
      <c r="I320">
        <v>6.98</v>
      </c>
      <c r="J320">
        <v>1</v>
      </c>
      <c r="K320">
        <v>10</v>
      </c>
      <c r="L320">
        <v>40.6</v>
      </c>
      <c r="M320">
        <v>4</v>
      </c>
      <c r="N320">
        <v>10.3</v>
      </c>
      <c r="O320">
        <v>0</v>
      </c>
    </row>
    <row r="321" spans="1:15" x14ac:dyDescent="0.3">
      <c r="A321" t="s">
        <v>345</v>
      </c>
      <c r="B321">
        <v>28</v>
      </c>
      <c r="C321" t="s">
        <v>16</v>
      </c>
      <c r="D321" t="s">
        <v>17</v>
      </c>
      <c r="E321" t="s">
        <v>20</v>
      </c>
      <c r="F321">
        <v>10.02</v>
      </c>
      <c r="G321">
        <v>0.5</v>
      </c>
      <c r="H321">
        <v>9.52</v>
      </c>
      <c r="I321">
        <v>6.28</v>
      </c>
      <c r="J321">
        <v>1</v>
      </c>
      <c r="K321">
        <v>10</v>
      </c>
      <c r="L321">
        <v>40.799999999999997</v>
      </c>
      <c r="M321">
        <v>57</v>
      </c>
      <c r="N321">
        <v>0</v>
      </c>
      <c r="O321">
        <v>2.1</v>
      </c>
    </row>
    <row r="322" spans="1:15" x14ac:dyDescent="0.3">
      <c r="A322" t="s">
        <v>346</v>
      </c>
      <c r="B322">
        <v>30</v>
      </c>
      <c r="C322" t="s">
        <v>16</v>
      </c>
      <c r="D322" t="s">
        <v>26</v>
      </c>
      <c r="E322" t="s">
        <v>18</v>
      </c>
      <c r="F322">
        <v>13.4</v>
      </c>
      <c r="G322">
        <v>4.99</v>
      </c>
      <c r="H322">
        <v>8.41</v>
      </c>
      <c r="I322">
        <v>6.17</v>
      </c>
      <c r="J322">
        <v>1</v>
      </c>
      <c r="K322">
        <v>10</v>
      </c>
      <c r="L322">
        <v>43.6</v>
      </c>
      <c r="M322">
        <v>72</v>
      </c>
      <c r="N322">
        <v>14.1</v>
      </c>
      <c r="O322">
        <v>3.1</v>
      </c>
    </row>
    <row r="323" spans="1:15" x14ac:dyDescent="0.3">
      <c r="A323" t="s">
        <v>347</v>
      </c>
      <c r="B323">
        <v>34</v>
      </c>
      <c r="C323" t="s">
        <v>28</v>
      </c>
      <c r="D323" t="s">
        <v>26</v>
      </c>
      <c r="E323" t="s">
        <v>20</v>
      </c>
      <c r="F323">
        <v>9.01</v>
      </c>
      <c r="G323">
        <v>0.45</v>
      </c>
      <c r="H323">
        <v>8.56</v>
      </c>
      <c r="I323">
        <v>5.97</v>
      </c>
      <c r="J323">
        <v>1</v>
      </c>
      <c r="K323">
        <v>6.2</v>
      </c>
      <c r="L323">
        <v>63.7</v>
      </c>
      <c r="M323">
        <v>214</v>
      </c>
      <c r="N323">
        <v>10.6</v>
      </c>
      <c r="O323">
        <v>34.9</v>
      </c>
    </row>
    <row r="324" spans="1:15" x14ac:dyDescent="0.3">
      <c r="A324" t="s">
        <v>348</v>
      </c>
      <c r="B324">
        <v>23</v>
      </c>
      <c r="C324" t="s">
        <v>16</v>
      </c>
      <c r="D324" t="s">
        <v>37</v>
      </c>
      <c r="E324" t="s">
        <v>20</v>
      </c>
      <c r="F324">
        <v>3.64</v>
      </c>
      <c r="G324">
        <v>0.28999999999999998</v>
      </c>
      <c r="H324">
        <v>3.35</v>
      </c>
      <c r="I324">
        <v>7.7</v>
      </c>
      <c r="J324">
        <v>3</v>
      </c>
      <c r="K324">
        <v>3</v>
      </c>
      <c r="L324">
        <v>88.8</v>
      </c>
      <c r="M324">
        <v>87</v>
      </c>
      <c r="N324">
        <v>0</v>
      </c>
      <c r="O324">
        <v>65.3</v>
      </c>
    </row>
    <row r="325" spans="1:15" x14ac:dyDescent="0.3">
      <c r="A325" t="s">
        <v>349</v>
      </c>
      <c r="B325">
        <v>46</v>
      </c>
      <c r="C325" t="s">
        <v>24</v>
      </c>
      <c r="D325" t="s">
        <v>17</v>
      </c>
      <c r="E325" t="s">
        <v>20</v>
      </c>
      <c r="F325">
        <v>9.17</v>
      </c>
      <c r="G325">
        <v>0.46</v>
      </c>
      <c r="H325">
        <v>8.7100000000000009</v>
      </c>
      <c r="I325">
        <v>8.07</v>
      </c>
      <c r="J325">
        <v>2</v>
      </c>
      <c r="K325">
        <v>7.7</v>
      </c>
      <c r="L325">
        <v>54.7</v>
      </c>
      <c r="M325">
        <v>69</v>
      </c>
      <c r="N325">
        <v>8.1</v>
      </c>
      <c r="O325">
        <v>16.2</v>
      </c>
    </row>
    <row r="326" spans="1:15" x14ac:dyDescent="0.3">
      <c r="A326" t="s">
        <v>350</v>
      </c>
      <c r="B326">
        <v>21</v>
      </c>
      <c r="C326" t="s">
        <v>16</v>
      </c>
      <c r="D326" t="s">
        <v>17</v>
      </c>
      <c r="E326" t="s">
        <v>18</v>
      </c>
      <c r="F326">
        <v>11.2</v>
      </c>
      <c r="G326">
        <v>4.76</v>
      </c>
      <c r="H326">
        <v>6.44</v>
      </c>
      <c r="I326">
        <v>7.18</v>
      </c>
      <c r="J326">
        <v>2</v>
      </c>
      <c r="K326">
        <v>8.5</v>
      </c>
      <c r="L326">
        <v>40.799999999999997</v>
      </c>
      <c r="M326">
        <v>120</v>
      </c>
      <c r="N326">
        <v>7.7</v>
      </c>
      <c r="O326">
        <v>21.3</v>
      </c>
    </row>
    <row r="327" spans="1:15" x14ac:dyDescent="0.3">
      <c r="A327" t="s">
        <v>351</v>
      </c>
      <c r="B327">
        <v>20</v>
      </c>
      <c r="C327" t="s">
        <v>24</v>
      </c>
      <c r="D327" t="s">
        <v>17</v>
      </c>
      <c r="E327" t="s">
        <v>22</v>
      </c>
      <c r="F327">
        <v>9.7799999999999994</v>
      </c>
      <c r="G327">
        <v>1.49</v>
      </c>
      <c r="H327">
        <v>8.2899999999999991</v>
      </c>
      <c r="I327">
        <v>7.95</v>
      </c>
      <c r="J327">
        <v>1</v>
      </c>
      <c r="K327">
        <v>8.6999999999999993</v>
      </c>
      <c r="L327">
        <v>49.5</v>
      </c>
      <c r="M327">
        <v>54</v>
      </c>
      <c r="N327">
        <v>1.9</v>
      </c>
      <c r="O327">
        <v>19.3</v>
      </c>
    </row>
    <row r="328" spans="1:15" x14ac:dyDescent="0.3">
      <c r="A328" t="s">
        <v>352</v>
      </c>
      <c r="B328">
        <v>39</v>
      </c>
      <c r="C328" t="s">
        <v>16</v>
      </c>
      <c r="D328" t="s">
        <v>26</v>
      </c>
      <c r="E328" t="s">
        <v>18</v>
      </c>
      <c r="F328">
        <v>8.1199999999999992</v>
      </c>
      <c r="G328">
        <v>5.53</v>
      </c>
      <c r="H328">
        <v>2.59</v>
      </c>
      <c r="I328">
        <v>7.03</v>
      </c>
      <c r="J328">
        <v>1</v>
      </c>
      <c r="K328">
        <v>8.1999999999999993</v>
      </c>
      <c r="L328">
        <v>52.5</v>
      </c>
      <c r="M328">
        <v>124</v>
      </c>
      <c r="N328">
        <v>5.7</v>
      </c>
      <c r="O328">
        <v>9.6999999999999993</v>
      </c>
    </row>
    <row r="329" spans="1:15" x14ac:dyDescent="0.3">
      <c r="A329" t="s">
        <v>353</v>
      </c>
      <c r="B329">
        <v>36</v>
      </c>
      <c r="C329" t="s">
        <v>24</v>
      </c>
      <c r="D329" t="s">
        <v>26</v>
      </c>
      <c r="E329" t="s">
        <v>18</v>
      </c>
      <c r="F329">
        <v>9.61</v>
      </c>
      <c r="G329">
        <v>3.45</v>
      </c>
      <c r="H329">
        <v>6.16</v>
      </c>
      <c r="I329">
        <v>8.1</v>
      </c>
      <c r="J329">
        <v>2</v>
      </c>
      <c r="K329">
        <v>3.1</v>
      </c>
      <c r="L329">
        <v>84</v>
      </c>
      <c r="M329">
        <v>0</v>
      </c>
      <c r="N329">
        <v>2</v>
      </c>
      <c r="O329">
        <v>68.400000000000006</v>
      </c>
    </row>
    <row r="330" spans="1:15" x14ac:dyDescent="0.3">
      <c r="A330" t="s">
        <v>354</v>
      </c>
      <c r="B330">
        <v>34</v>
      </c>
      <c r="C330" t="s">
        <v>16</v>
      </c>
      <c r="D330" t="s">
        <v>17</v>
      </c>
      <c r="E330" t="s">
        <v>18</v>
      </c>
      <c r="F330">
        <v>13.08</v>
      </c>
      <c r="G330">
        <v>2.0499999999999998</v>
      </c>
      <c r="H330">
        <v>11.03</v>
      </c>
      <c r="I330">
        <v>6.32</v>
      </c>
      <c r="J330">
        <v>1</v>
      </c>
      <c r="K330">
        <v>10</v>
      </c>
      <c r="L330">
        <v>40.5</v>
      </c>
      <c r="M330">
        <v>237</v>
      </c>
      <c r="N330">
        <v>7.9</v>
      </c>
      <c r="O330">
        <v>6.6</v>
      </c>
    </row>
    <row r="331" spans="1:15" x14ac:dyDescent="0.3">
      <c r="A331" t="s">
        <v>355</v>
      </c>
      <c r="B331">
        <v>35</v>
      </c>
      <c r="C331" t="s">
        <v>16</v>
      </c>
      <c r="D331" t="s">
        <v>17</v>
      </c>
      <c r="E331" t="s">
        <v>20</v>
      </c>
      <c r="F331">
        <v>10.7</v>
      </c>
      <c r="G331">
        <v>2.1800000000000002</v>
      </c>
      <c r="H331">
        <v>8.52</v>
      </c>
      <c r="I331">
        <v>8.02</v>
      </c>
      <c r="J331">
        <v>2</v>
      </c>
      <c r="K331">
        <v>8</v>
      </c>
      <c r="L331">
        <v>64</v>
      </c>
      <c r="M331">
        <v>2</v>
      </c>
      <c r="N331">
        <v>3.1</v>
      </c>
      <c r="O331">
        <v>26.4</v>
      </c>
    </row>
    <row r="332" spans="1:15" x14ac:dyDescent="0.3">
      <c r="A332" t="s">
        <v>356</v>
      </c>
      <c r="B332">
        <v>29</v>
      </c>
      <c r="C332" t="s">
        <v>16</v>
      </c>
      <c r="D332" t="s">
        <v>26</v>
      </c>
      <c r="E332" t="s">
        <v>18</v>
      </c>
      <c r="F332">
        <v>10.31</v>
      </c>
      <c r="G332">
        <v>6.31</v>
      </c>
      <c r="H332">
        <v>4</v>
      </c>
      <c r="I332">
        <v>6.83</v>
      </c>
      <c r="J332">
        <v>1</v>
      </c>
      <c r="K332">
        <v>10</v>
      </c>
      <c r="L332">
        <v>38.4</v>
      </c>
      <c r="M332">
        <v>73</v>
      </c>
      <c r="N332">
        <v>0</v>
      </c>
      <c r="O332">
        <v>0</v>
      </c>
    </row>
    <row r="333" spans="1:15" x14ac:dyDescent="0.3">
      <c r="A333" t="s">
        <v>357</v>
      </c>
      <c r="B333">
        <v>22</v>
      </c>
      <c r="C333" t="s">
        <v>16</v>
      </c>
      <c r="D333" t="s">
        <v>17</v>
      </c>
      <c r="E333" t="s">
        <v>22</v>
      </c>
      <c r="F333">
        <v>10.6</v>
      </c>
      <c r="G333">
        <v>1.33</v>
      </c>
      <c r="H333">
        <v>9.27</v>
      </c>
      <c r="I333">
        <v>7.3</v>
      </c>
      <c r="J333">
        <v>2</v>
      </c>
      <c r="K333">
        <v>8.1</v>
      </c>
      <c r="L333">
        <v>62.5</v>
      </c>
      <c r="M333">
        <v>88</v>
      </c>
      <c r="N333">
        <v>5.3</v>
      </c>
      <c r="O333">
        <v>19.100000000000001</v>
      </c>
    </row>
    <row r="334" spans="1:15" x14ac:dyDescent="0.3">
      <c r="A334" t="s">
        <v>358</v>
      </c>
      <c r="B334">
        <v>30</v>
      </c>
      <c r="C334" t="s">
        <v>24</v>
      </c>
      <c r="D334" t="s">
        <v>26</v>
      </c>
      <c r="E334" t="s">
        <v>18</v>
      </c>
      <c r="F334">
        <v>11.1</v>
      </c>
      <c r="G334">
        <v>3.99</v>
      </c>
      <c r="H334">
        <v>7.11</v>
      </c>
      <c r="I334">
        <v>7.92</v>
      </c>
      <c r="J334">
        <v>3</v>
      </c>
      <c r="K334">
        <v>8.1999999999999993</v>
      </c>
      <c r="L334">
        <v>57.4</v>
      </c>
      <c r="M334">
        <v>225</v>
      </c>
      <c r="N334">
        <v>10</v>
      </c>
      <c r="O334">
        <v>42.3</v>
      </c>
    </row>
    <row r="335" spans="1:15" x14ac:dyDescent="0.3">
      <c r="A335" t="s">
        <v>359</v>
      </c>
      <c r="B335">
        <v>24</v>
      </c>
      <c r="C335" t="s">
        <v>16</v>
      </c>
      <c r="D335" t="s">
        <v>17</v>
      </c>
      <c r="E335" t="s">
        <v>22</v>
      </c>
      <c r="F335">
        <v>10.119999999999999</v>
      </c>
      <c r="G335">
        <v>2.4</v>
      </c>
      <c r="H335">
        <v>7.72</v>
      </c>
      <c r="I335">
        <v>6.67</v>
      </c>
      <c r="J335">
        <v>1</v>
      </c>
      <c r="K335">
        <v>10</v>
      </c>
      <c r="L335">
        <v>47.5</v>
      </c>
      <c r="M335">
        <v>2</v>
      </c>
      <c r="N335">
        <v>6.6</v>
      </c>
      <c r="O335">
        <v>0</v>
      </c>
    </row>
    <row r="336" spans="1:15" x14ac:dyDescent="0.3">
      <c r="A336" t="s">
        <v>360</v>
      </c>
      <c r="B336">
        <v>37</v>
      </c>
      <c r="C336" t="s">
        <v>24</v>
      </c>
      <c r="D336" t="s">
        <v>17</v>
      </c>
      <c r="E336" t="s">
        <v>22</v>
      </c>
      <c r="F336">
        <v>6.85</v>
      </c>
      <c r="G336">
        <v>0.41</v>
      </c>
      <c r="H336">
        <v>6.44</v>
      </c>
      <c r="I336">
        <v>7.62</v>
      </c>
      <c r="J336">
        <v>2</v>
      </c>
      <c r="K336">
        <v>7.8</v>
      </c>
      <c r="L336">
        <v>53.8</v>
      </c>
      <c r="M336">
        <v>259</v>
      </c>
      <c r="N336">
        <v>17.5</v>
      </c>
      <c r="O336">
        <v>25.1</v>
      </c>
    </row>
    <row r="337" spans="1:15" x14ac:dyDescent="0.3">
      <c r="A337" t="s">
        <v>361</v>
      </c>
      <c r="B337">
        <v>28</v>
      </c>
      <c r="C337" t="s">
        <v>16</v>
      </c>
      <c r="D337" t="s">
        <v>17</v>
      </c>
      <c r="E337" t="s">
        <v>22</v>
      </c>
      <c r="F337">
        <v>9.7200000000000006</v>
      </c>
      <c r="G337">
        <v>0.67</v>
      </c>
      <c r="H337">
        <v>9.0500000000000007</v>
      </c>
      <c r="I337">
        <v>7.95</v>
      </c>
      <c r="J337">
        <v>1</v>
      </c>
      <c r="K337">
        <v>10</v>
      </c>
      <c r="L337">
        <v>44.8</v>
      </c>
      <c r="M337">
        <v>152</v>
      </c>
      <c r="N337">
        <v>4.4000000000000004</v>
      </c>
      <c r="O337">
        <v>10.4</v>
      </c>
    </row>
    <row r="338" spans="1:15" x14ac:dyDescent="0.3">
      <c r="A338" t="s">
        <v>362</v>
      </c>
      <c r="B338">
        <v>23</v>
      </c>
      <c r="C338" t="s">
        <v>24</v>
      </c>
      <c r="D338" t="s">
        <v>17</v>
      </c>
      <c r="E338" t="s">
        <v>20</v>
      </c>
      <c r="F338">
        <v>10.6</v>
      </c>
      <c r="G338">
        <v>2.29</v>
      </c>
      <c r="H338">
        <v>8.31</v>
      </c>
      <c r="I338">
        <v>6.63</v>
      </c>
      <c r="J338">
        <v>1</v>
      </c>
      <c r="K338">
        <v>9.6999999999999993</v>
      </c>
      <c r="L338">
        <v>31.4</v>
      </c>
      <c r="M338">
        <v>120</v>
      </c>
      <c r="N338">
        <v>9.5</v>
      </c>
      <c r="O338">
        <v>0</v>
      </c>
    </row>
    <row r="339" spans="1:15" x14ac:dyDescent="0.3">
      <c r="A339" t="s">
        <v>363</v>
      </c>
      <c r="B339">
        <v>27</v>
      </c>
      <c r="C339" t="s">
        <v>16</v>
      </c>
      <c r="D339" t="s">
        <v>17</v>
      </c>
      <c r="E339" t="s">
        <v>22</v>
      </c>
      <c r="F339">
        <v>11.54</v>
      </c>
      <c r="G339">
        <v>0.95</v>
      </c>
      <c r="H339">
        <v>10.59</v>
      </c>
      <c r="I339">
        <v>5.58</v>
      </c>
      <c r="J339">
        <v>1</v>
      </c>
      <c r="K339">
        <v>10</v>
      </c>
      <c r="L339">
        <v>39.1</v>
      </c>
      <c r="M339">
        <v>18</v>
      </c>
      <c r="N339">
        <v>6.7</v>
      </c>
      <c r="O339">
        <v>0</v>
      </c>
    </row>
    <row r="340" spans="1:15" x14ac:dyDescent="0.3">
      <c r="A340" t="s">
        <v>364</v>
      </c>
      <c r="B340">
        <v>33</v>
      </c>
      <c r="C340" t="s">
        <v>16</v>
      </c>
      <c r="D340" t="s">
        <v>26</v>
      </c>
      <c r="E340" t="s">
        <v>20</v>
      </c>
      <c r="F340">
        <v>11.28</v>
      </c>
      <c r="G340">
        <v>2.5</v>
      </c>
      <c r="H340">
        <v>8.7799999999999994</v>
      </c>
      <c r="I340">
        <v>8.4499999999999993</v>
      </c>
      <c r="J340">
        <v>3</v>
      </c>
      <c r="K340">
        <v>8.3000000000000007</v>
      </c>
      <c r="L340">
        <v>62.5</v>
      </c>
      <c r="M340">
        <v>132</v>
      </c>
      <c r="N340">
        <v>6.4</v>
      </c>
      <c r="O340">
        <v>35.4</v>
      </c>
    </row>
    <row r="341" spans="1:15" x14ac:dyDescent="0.3">
      <c r="A341" t="s">
        <v>365</v>
      </c>
      <c r="B341">
        <v>25</v>
      </c>
      <c r="C341" t="s">
        <v>24</v>
      </c>
      <c r="D341" t="s">
        <v>26</v>
      </c>
      <c r="E341" t="s">
        <v>20</v>
      </c>
      <c r="F341">
        <v>8.89</v>
      </c>
      <c r="G341">
        <v>0.94</v>
      </c>
      <c r="H341">
        <v>7.95</v>
      </c>
      <c r="I341">
        <v>6.64</v>
      </c>
      <c r="J341">
        <v>1</v>
      </c>
      <c r="K341">
        <v>8.8000000000000007</v>
      </c>
      <c r="L341">
        <v>46.3</v>
      </c>
      <c r="M341">
        <v>52</v>
      </c>
      <c r="N341">
        <v>8.1</v>
      </c>
      <c r="O341">
        <v>10.3</v>
      </c>
    </row>
    <row r="342" spans="1:15" x14ac:dyDescent="0.3">
      <c r="A342" t="s">
        <v>366</v>
      </c>
      <c r="B342">
        <v>23</v>
      </c>
      <c r="C342" t="s">
        <v>16</v>
      </c>
      <c r="D342" t="s">
        <v>17</v>
      </c>
      <c r="E342" t="s">
        <v>18</v>
      </c>
      <c r="F342">
        <v>9.14</v>
      </c>
      <c r="G342">
        <v>2.87</v>
      </c>
      <c r="H342">
        <v>6.27</v>
      </c>
      <c r="I342">
        <v>7.09</v>
      </c>
      <c r="J342">
        <v>1</v>
      </c>
      <c r="K342">
        <v>9.9</v>
      </c>
      <c r="L342">
        <v>38.4</v>
      </c>
      <c r="M342">
        <v>188</v>
      </c>
      <c r="N342">
        <v>4.7</v>
      </c>
      <c r="O342">
        <v>6.2</v>
      </c>
    </row>
    <row r="343" spans="1:15" x14ac:dyDescent="0.3">
      <c r="A343" t="s">
        <v>367</v>
      </c>
      <c r="B343">
        <v>31</v>
      </c>
      <c r="C343" t="s">
        <v>16</v>
      </c>
      <c r="D343" t="s">
        <v>17</v>
      </c>
      <c r="E343" t="s">
        <v>20</v>
      </c>
      <c r="F343">
        <v>9.43</v>
      </c>
      <c r="G343">
        <v>0.47</v>
      </c>
      <c r="H343">
        <v>8.9600000000000009</v>
      </c>
      <c r="I343">
        <v>7.92</v>
      </c>
      <c r="J343">
        <v>1</v>
      </c>
      <c r="K343">
        <v>8.6</v>
      </c>
      <c r="L343">
        <v>54.5</v>
      </c>
      <c r="M343">
        <v>34</v>
      </c>
      <c r="N343">
        <v>10.8</v>
      </c>
      <c r="O343">
        <v>10.6</v>
      </c>
    </row>
    <row r="344" spans="1:15" x14ac:dyDescent="0.3">
      <c r="A344" t="s">
        <v>368</v>
      </c>
      <c r="B344">
        <v>31</v>
      </c>
      <c r="C344" t="s">
        <v>24</v>
      </c>
      <c r="D344" t="s">
        <v>17</v>
      </c>
      <c r="E344" t="s">
        <v>18</v>
      </c>
      <c r="F344">
        <v>4.96</v>
      </c>
      <c r="G344">
        <v>2.68</v>
      </c>
      <c r="H344">
        <v>2.2799999999999998</v>
      </c>
      <c r="I344">
        <v>7.18</v>
      </c>
      <c r="J344">
        <v>1</v>
      </c>
      <c r="K344">
        <v>8.1999999999999993</v>
      </c>
      <c r="L344">
        <v>57.1</v>
      </c>
      <c r="M344">
        <v>121</v>
      </c>
      <c r="N344">
        <v>1.4</v>
      </c>
      <c r="O344">
        <v>32.799999999999997</v>
      </c>
    </row>
    <row r="345" spans="1:15" x14ac:dyDescent="0.3">
      <c r="A345" t="s">
        <v>369</v>
      </c>
      <c r="B345">
        <v>25</v>
      </c>
      <c r="C345" t="s">
        <v>24</v>
      </c>
      <c r="D345" t="s">
        <v>17</v>
      </c>
      <c r="E345" t="s">
        <v>20</v>
      </c>
      <c r="F345">
        <v>4.4800000000000004</v>
      </c>
      <c r="G345">
        <v>1.1100000000000001</v>
      </c>
      <c r="H345">
        <v>3.37</v>
      </c>
      <c r="I345">
        <v>6.87</v>
      </c>
      <c r="J345">
        <v>1</v>
      </c>
      <c r="K345">
        <v>5.3</v>
      </c>
      <c r="L345">
        <v>67.099999999999994</v>
      </c>
      <c r="M345">
        <v>90</v>
      </c>
      <c r="N345">
        <v>4.8</v>
      </c>
      <c r="O345">
        <v>34</v>
      </c>
    </row>
    <row r="346" spans="1:15" x14ac:dyDescent="0.3">
      <c r="A346" t="s">
        <v>370</v>
      </c>
      <c r="B346">
        <v>26</v>
      </c>
      <c r="C346" t="s">
        <v>16</v>
      </c>
      <c r="D346" t="s">
        <v>17</v>
      </c>
      <c r="E346" t="s">
        <v>22</v>
      </c>
      <c r="F346">
        <v>6.34</v>
      </c>
      <c r="G346">
        <v>0.78</v>
      </c>
      <c r="H346">
        <v>5.56</v>
      </c>
      <c r="I346">
        <v>7.61</v>
      </c>
      <c r="J346">
        <v>2</v>
      </c>
      <c r="K346">
        <v>6.8</v>
      </c>
      <c r="L346">
        <v>67.5</v>
      </c>
      <c r="M346">
        <v>49</v>
      </c>
      <c r="N346">
        <v>7</v>
      </c>
      <c r="O346">
        <v>33.6</v>
      </c>
    </row>
    <row r="347" spans="1:15" x14ac:dyDescent="0.3">
      <c r="A347" t="s">
        <v>371</v>
      </c>
      <c r="B347">
        <v>31</v>
      </c>
      <c r="C347" t="s">
        <v>16</v>
      </c>
      <c r="D347" t="s">
        <v>29</v>
      </c>
      <c r="E347" t="s">
        <v>20</v>
      </c>
      <c r="F347">
        <v>10.42</v>
      </c>
      <c r="G347">
        <v>2.58</v>
      </c>
      <c r="H347">
        <v>7.84</v>
      </c>
      <c r="I347">
        <v>5.41</v>
      </c>
      <c r="J347">
        <v>1</v>
      </c>
      <c r="K347">
        <v>10</v>
      </c>
      <c r="L347">
        <v>58.2</v>
      </c>
      <c r="M347">
        <v>148</v>
      </c>
      <c r="N347">
        <v>15.3</v>
      </c>
      <c r="O347">
        <v>4.9000000000000004</v>
      </c>
    </row>
    <row r="348" spans="1:15" x14ac:dyDescent="0.3">
      <c r="A348" t="s">
        <v>372</v>
      </c>
      <c r="B348">
        <v>18</v>
      </c>
      <c r="C348" t="s">
        <v>24</v>
      </c>
      <c r="D348" t="s">
        <v>17</v>
      </c>
      <c r="E348" t="s">
        <v>20</v>
      </c>
      <c r="F348">
        <v>6.85</v>
      </c>
      <c r="G348">
        <v>0.44</v>
      </c>
      <c r="H348">
        <v>6.41</v>
      </c>
      <c r="I348">
        <v>7.02</v>
      </c>
      <c r="J348">
        <v>1</v>
      </c>
      <c r="K348">
        <v>9</v>
      </c>
      <c r="L348">
        <v>58.6</v>
      </c>
      <c r="M348">
        <v>148</v>
      </c>
      <c r="N348">
        <v>9.6</v>
      </c>
      <c r="O348">
        <v>15.6</v>
      </c>
    </row>
    <row r="349" spans="1:15" x14ac:dyDescent="0.3">
      <c r="A349" t="s">
        <v>373</v>
      </c>
      <c r="B349">
        <v>18</v>
      </c>
      <c r="C349" t="s">
        <v>16</v>
      </c>
      <c r="D349" t="s">
        <v>26</v>
      </c>
      <c r="E349" t="s">
        <v>20</v>
      </c>
      <c r="F349">
        <v>9.39</v>
      </c>
      <c r="G349">
        <v>1.37</v>
      </c>
      <c r="H349">
        <v>8.02</v>
      </c>
      <c r="I349">
        <v>7.07</v>
      </c>
      <c r="J349">
        <v>1</v>
      </c>
      <c r="K349">
        <v>7.4</v>
      </c>
      <c r="L349">
        <v>61.3</v>
      </c>
      <c r="M349">
        <v>180</v>
      </c>
      <c r="N349">
        <v>7.5</v>
      </c>
      <c r="O349">
        <v>28.5</v>
      </c>
    </row>
    <row r="350" spans="1:15" x14ac:dyDescent="0.3">
      <c r="A350" t="s">
        <v>374</v>
      </c>
      <c r="B350">
        <v>24</v>
      </c>
      <c r="C350" t="s">
        <v>16</v>
      </c>
      <c r="D350" t="s">
        <v>17</v>
      </c>
      <c r="E350" t="s">
        <v>20</v>
      </c>
      <c r="F350">
        <v>6.67</v>
      </c>
      <c r="G350">
        <v>0.53</v>
      </c>
      <c r="H350">
        <v>6.14</v>
      </c>
      <c r="I350">
        <v>7.12</v>
      </c>
      <c r="J350">
        <v>1</v>
      </c>
      <c r="K350">
        <v>8</v>
      </c>
      <c r="L350">
        <v>58.6</v>
      </c>
      <c r="M350">
        <v>0</v>
      </c>
      <c r="N350">
        <v>3.5</v>
      </c>
      <c r="O350">
        <v>23.4</v>
      </c>
    </row>
    <row r="351" spans="1:15" x14ac:dyDescent="0.3">
      <c r="A351" t="s">
        <v>375</v>
      </c>
      <c r="B351">
        <v>28</v>
      </c>
      <c r="C351" t="s">
        <v>16</v>
      </c>
      <c r="D351" t="s">
        <v>26</v>
      </c>
      <c r="E351" t="s">
        <v>18</v>
      </c>
      <c r="F351">
        <v>10.19</v>
      </c>
      <c r="G351">
        <v>5.48</v>
      </c>
      <c r="H351">
        <v>4.71</v>
      </c>
      <c r="I351">
        <v>5.62</v>
      </c>
      <c r="J351">
        <v>1</v>
      </c>
      <c r="K351">
        <v>10</v>
      </c>
      <c r="L351">
        <v>43.7</v>
      </c>
      <c r="M351">
        <v>170</v>
      </c>
      <c r="N351">
        <v>8.1</v>
      </c>
      <c r="O351">
        <v>0</v>
      </c>
    </row>
    <row r="352" spans="1:15" x14ac:dyDescent="0.3">
      <c r="A352" t="s">
        <v>376</v>
      </c>
      <c r="B352">
        <v>32</v>
      </c>
      <c r="C352" t="s">
        <v>24</v>
      </c>
      <c r="D352" t="s">
        <v>26</v>
      </c>
      <c r="E352" t="s">
        <v>18</v>
      </c>
      <c r="F352">
        <v>13.59</v>
      </c>
      <c r="G352">
        <v>5.85</v>
      </c>
      <c r="H352">
        <v>7.74</v>
      </c>
      <c r="I352">
        <v>7.66</v>
      </c>
      <c r="J352">
        <v>1</v>
      </c>
      <c r="K352">
        <v>10</v>
      </c>
      <c r="L352">
        <v>23.2</v>
      </c>
      <c r="M352">
        <v>253</v>
      </c>
      <c r="N352">
        <v>6</v>
      </c>
      <c r="O352">
        <v>0</v>
      </c>
    </row>
    <row r="353" spans="1:15" x14ac:dyDescent="0.3">
      <c r="A353" t="s">
        <v>377</v>
      </c>
      <c r="B353">
        <v>41</v>
      </c>
      <c r="C353" t="s">
        <v>24</v>
      </c>
      <c r="D353" t="s">
        <v>31</v>
      </c>
      <c r="E353" t="s">
        <v>22</v>
      </c>
      <c r="F353">
        <v>1.32</v>
      </c>
      <c r="G353">
        <v>0.17</v>
      </c>
      <c r="H353">
        <v>1.1499999999999999</v>
      </c>
      <c r="I353">
        <v>8.39</v>
      </c>
      <c r="J353">
        <v>2</v>
      </c>
      <c r="K353">
        <v>0.2</v>
      </c>
      <c r="L353">
        <v>97.1</v>
      </c>
      <c r="M353">
        <v>124</v>
      </c>
      <c r="N353">
        <v>13.4</v>
      </c>
      <c r="O353">
        <v>84.4</v>
      </c>
    </row>
    <row r="354" spans="1:15" x14ac:dyDescent="0.3">
      <c r="A354" t="s">
        <v>378</v>
      </c>
      <c r="B354">
        <v>36</v>
      </c>
      <c r="C354" t="s">
        <v>16</v>
      </c>
      <c r="D354" t="s">
        <v>26</v>
      </c>
      <c r="E354" t="s">
        <v>18</v>
      </c>
      <c r="F354">
        <v>14.02</v>
      </c>
      <c r="G354">
        <v>7.36</v>
      </c>
      <c r="H354">
        <v>6.66</v>
      </c>
      <c r="I354">
        <v>7.5</v>
      </c>
      <c r="J354">
        <v>1</v>
      </c>
      <c r="K354">
        <v>10</v>
      </c>
      <c r="L354">
        <v>34.1</v>
      </c>
      <c r="M354">
        <v>210</v>
      </c>
      <c r="N354">
        <v>1.8</v>
      </c>
      <c r="O354">
        <v>5.2</v>
      </c>
    </row>
    <row r="355" spans="1:15" x14ac:dyDescent="0.3">
      <c r="A355" t="s">
        <v>379</v>
      </c>
      <c r="B355">
        <v>28</v>
      </c>
      <c r="C355" t="s">
        <v>16</v>
      </c>
      <c r="D355" t="s">
        <v>17</v>
      </c>
      <c r="E355" t="s">
        <v>22</v>
      </c>
      <c r="F355">
        <v>7.06</v>
      </c>
      <c r="G355">
        <v>1.54</v>
      </c>
      <c r="H355">
        <v>5.52</v>
      </c>
      <c r="I355">
        <v>7.11</v>
      </c>
      <c r="J355">
        <v>1</v>
      </c>
      <c r="K355">
        <v>9.1</v>
      </c>
      <c r="L355">
        <v>39.799999999999997</v>
      </c>
      <c r="M355">
        <v>96</v>
      </c>
      <c r="N355">
        <v>5.6</v>
      </c>
      <c r="O355">
        <v>5.6</v>
      </c>
    </row>
    <row r="356" spans="1:15" x14ac:dyDescent="0.3">
      <c r="A356" t="s">
        <v>380</v>
      </c>
      <c r="B356">
        <v>29</v>
      </c>
      <c r="C356" t="s">
        <v>16</v>
      </c>
      <c r="D356" t="s">
        <v>17</v>
      </c>
      <c r="E356" t="s">
        <v>22</v>
      </c>
      <c r="F356">
        <v>9.8699999999999992</v>
      </c>
      <c r="G356">
        <v>2.41</v>
      </c>
      <c r="H356">
        <v>7.46</v>
      </c>
      <c r="I356">
        <v>6.21</v>
      </c>
      <c r="J356">
        <v>1</v>
      </c>
      <c r="K356">
        <v>8.8000000000000007</v>
      </c>
      <c r="L356">
        <v>41.1</v>
      </c>
      <c r="M356">
        <v>2</v>
      </c>
      <c r="N356">
        <v>7.1</v>
      </c>
      <c r="O356">
        <v>8.5</v>
      </c>
    </row>
    <row r="357" spans="1:15" x14ac:dyDescent="0.3">
      <c r="A357" t="s">
        <v>381</v>
      </c>
      <c r="B357">
        <v>21</v>
      </c>
      <c r="C357" t="s">
        <v>24</v>
      </c>
      <c r="D357" t="s">
        <v>17</v>
      </c>
      <c r="E357" t="s">
        <v>20</v>
      </c>
      <c r="F357">
        <v>6.97</v>
      </c>
      <c r="G357">
        <v>0.35</v>
      </c>
      <c r="H357">
        <v>6.62</v>
      </c>
      <c r="I357">
        <v>7.48</v>
      </c>
      <c r="J357">
        <v>1</v>
      </c>
      <c r="K357">
        <v>7.1</v>
      </c>
      <c r="L357">
        <v>47.3</v>
      </c>
      <c r="M357">
        <v>90</v>
      </c>
      <c r="N357">
        <v>6.5</v>
      </c>
      <c r="O357">
        <v>13.6</v>
      </c>
    </row>
    <row r="358" spans="1:15" x14ac:dyDescent="0.3">
      <c r="A358" t="s">
        <v>382</v>
      </c>
      <c r="B358">
        <v>29</v>
      </c>
      <c r="C358" t="s">
        <v>16</v>
      </c>
      <c r="D358" t="s">
        <v>17</v>
      </c>
      <c r="E358" t="s">
        <v>22</v>
      </c>
      <c r="F358">
        <v>12.02</v>
      </c>
      <c r="G358">
        <v>2.21</v>
      </c>
      <c r="H358">
        <v>9.81</v>
      </c>
      <c r="I358">
        <v>6.41</v>
      </c>
      <c r="J358">
        <v>1</v>
      </c>
      <c r="K358">
        <v>10</v>
      </c>
      <c r="L358">
        <v>39.700000000000003</v>
      </c>
      <c r="M358">
        <v>159</v>
      </c>
      <c r="N358">
        <v>11.7</v>
      </c>
      <c r="O358">
        <v>12</v>
      </c>
    </row>
    <row r="359" spans="1:15" x14ac:dyDescent="0.3">
      <c r="A359" t="s">
        <v>383</v>
      </c>
      <c r="B359">
        <v>27</v>
      </c>
      <c r="C359" t="s">
        <v>16</v>
      </c>
      <c r="D359" t="s">
        <v>26</v>
      </c>
      <c r="E359" t="s">
        <v>20</v>
      </c>
      <c r="F359">
        <v>6.9</v>
      </c>
      <c r="G359">
        <v>0.77</v>
      </c>
      <c r="H359">
        <v>6.13</v>
      </c>
      <c r="I359">
        <v>6.39</v>
      </c>
      <c r="J359">
        <v>1</v>
      </c>
      <c r="K359">
        <v>7.4</v>
      </c>
      <c r="L359">
        <v>63</v>
      </c>
      <c r="M359">
        <v>56</v>
      </c>
      <c r="N359">
        <v>1.5</v>
      </c>
      <c r="O359">
        <v>28.3</v>
      </c>
    </row>
    <row r="360" spans="1:15" x14ac:dyDescent="0.3">
      <c r="A360" t="s">
        <v>384</v>
      </c>
      <c r="B360">
        <v>32</v>
      </c>
      <c r="C360" t="s">
        <v>24</v>
      </c>
      <c r="D360" t="s">
        <v>17</v>
      </c>
      <c r="E360" t="s">
        <v>18</v>
      </c>
      <c r="F360">
        <v>5.74</v>
      </c>
      <c r="G360">
        <v>1.57</v>
      </c>
      <c r="H360">
        <v>4.17</v>
      </c>
      <c r="I360">
        <v>8.73</v>
      </c>
      <c r="J360">
        <v>2</v>
      </c>
      <c r="K360">
        <v>4.3</v>
      </c>
      <c r="L360">
        <v>84.8</v>
      </c>
      <c r="M360">
        <v>83</v>
      </c>
      <c r="N360">
        <v>12.2</v>
      </c>
      <c r="O360">
        <v>47.2</v>
      </c>
    </row>
    <row r="361" spans="1:15" x14ac:dyDescent="0.3">
      <c r="A361" t="s">
        <v>385</v>
      </c>
      <c r="B361">
        <v>23</v>
      </c>
      <c r="C361" t="s">
        <v>16</v>
      </c>
      <c r="D361" t="s">
        <v>17</v>
      </c>
      <c r="E361" t="s">
        <v>20</v>
      </c>
      <c r="F361">
        <v>10.97</v>
      </c>
      <c r="G361">
        <v>1.43</v>
      </c>
      <c r="H361">
        <v>9.5399999999999991</v>
      </c>
      <c r="I361">
        <v>6.19</v>
      </c>
      <c r="J361">
        <v>1</v>
      </c>
      <c r="K361">
        <v>9.5</v>
      </c>
      <c r="L361">
        <v>46</v>
      </c>
      <c r="M361">
        <v>130</v>
      </c>
      <c r="N361">
        <v>12.3</v>
      </c>
      <c r="O361">
        <v>0.4</v>
      </c>
    </row>
    <row r="362" spans="1:15" x14ac:dyDescent="0.3">
      <c r="A362" t="s">
        <v>386</v>
      </c>
      <c r="B362">
        <v>34</v>
      </c>
      <c r="C362" t="s">
        <v>24</v>
      </c>
      <c r="D362" t="s">
        <v>26</v>
      </c>
      <c r="E362" t="s">
        <v>20</v>
      </c>
      <c r="F362">
        <v>10.24</v>
      </c>
      <c r="G362">
        <v>0.51</v>
      </c>
      <c r="H362">
        <v>9.73</v>
      </c>
      <c r="I362">
        <v>5.43</v>
      </c>
      <c r="J362">
        <v>1</v>
      </c>
      <c r="K362">
        <v>10</v>
      </c>
      <c r="L362">
        <v>36.9</v>
      </c>
      <c r="M362">
        <v>99</v>
      </c>
      <c r="N362">
        <v>6.6</v>
      </c>
      <c r="O362">
        <v>0</v>
      </c>
    </row>
    <row r="363" spans="1:15" x14ac:dyDescent="0.3">
      <c r="A363" t="s">
        <v>387</v>
      </c>
      <c r="B363">
        <v>42</v>
      </c>
      <c r="C363" t="s">
        <v>16</v>
      </c>
      <c r="D363" t="s">
        <v>17</v>
      </c>
      <c r="E363" t="s">
        <v>22</v>
      </c>
      <c r="F363">
        <v>6.26</v>
      </c>
      <c r="G363">
        <v>0.94</v>
      </c>
      <c r="H363">
        <v>5.32</v>
      </c>
      <c r="I363">
        <v>8.64</v>
      </c>
      <c r="J363">
        <v>2</v>
      </c>
      <c r="K363">
        <v>3.8</v>
      </c>
      <c r="L363">
        <v>67.8</v>
      </c>
      <c r="M363">
        <v>167</v>
      </c>
      <c r="N363">
        <v>2.7</v>
      </c>
      <c r="O363">
        <v>57.1</v>
      </c>
    </row>
    <row r="364" spans="1:15" x14ac:dyDescent="0.3">
      <c r="A364" t="s">
        <v>388</v>
      </c>
      <c r="B364">
        <v>29</v>
      </c>
      <c r="C364" t="s">
        <v>16</v>
      </c>
      <c r="D364" t="s">
        <v>26</v>
      </c>
      <c r="E364" t="s">
        <v>22</v>
      </c>
      <c r="F364">
        <v>11.49</v>
      </c>
      <c r="G364">
        <v>0.75</v>
      </c>
      <c r="H364">
        <v>10.74</v>
      </c>
      <c r="I364">
        <v>6.26</v>
      </c>
      <c r="J364">
        <v>1</v>
      </c>
      <c r="K364">
        <v>10</v>
      </c>
      <c r="L364">
        <v>30.2</v>
      </c>
      <c r="M364">
        <v>105</v>
      </c>
      <c r="N364">
        <v>7.6</v>
      </c>
      <c r="O364">
        <v>0</v>
      </c>
    </row>
    <row r="365" spans="1:15" x14ac:dyDescent="0.3">
      <c r="A365" t="s">
        <v>389</v>
      </c>
      <c r="B365">
        <v>33</v>
      </c>
      <c r="C365" t="s">
        <v>16</v>
      </c>
      <c r="D365" t="s">
        <v>26</v>
      </c>
      <c r="E365" t="s">
        <v>20</v>
      </c>
      <c r="F365">
        <v>10.39</v>
      </c>
      <c r="G365">
        <v>0.52</v>
      </c>
      <c r="H365">
        <v>9.8699999999999992</v>
      </c>
      <c r="I365">
        <v>6.39</v>
      </c>
      <c r="J365">
        <v>1</v>
      </c>
      <c r="K365">
        <v>10</v>
      </c>
      <c r="L365">
        <v>34.799999999999997</v>
      </c>
      <c r="M365">
        <v>131</v>
      </c>
      <c r="N365">
        <v>8.3000000000000007</v>
      </c>
      <c r="O365">
        <v>0</v>
      </c>
    </row>
    <row r="366" spans="1:15" x14ac:dyDescent="0.3">
      <c r="A366" t="s">
        <v>390</v>
      </c>
      <c r="B366">
        <v>35</v>
      </c>
      <c r="C366" t="s">
        <v>24</v>
      </c>
      <c r="D366" t="s">
        <v>17</v>
      </c>
      <c r="E366" t="s">
        <v>18</v>
      </c>
      <c r="F366">
        <v>8.7200000000000006</v>
      </c>
      <c r="G366">
        <v>2.36</v>
      </c>
      <c r="H366">
        <v>6.36</v>
      </c>
      <c r="I366">
        <v>5.73</v>
      </c>
      <c r="J366">
        <v>1</v>
      </c>
      <c r="K366">
        <v>10</v>
      </c>
      <c r="L366">
        <v>39.6</v>
      </c>
      <c r="M366">
        <v>78</v>
      </c>
      <c r="N366">
        <v>6.7</v>
      </c>
      <c r="O366">
        <v>3.3</v>
      </c>
    </row>
    <row r="367" spans="1:15" x14ac:dyDescent="0.3">
      <c r="A367" t="s">
        <v>391</v>
      </c>
      <c r="B367">
        <v>26</v>
      </c>
      <c r="C367" t="s">
        <v>24</v>
      </c>
      <c r="D367" t="s">
        <v>26</v>
      </c>
      <c r="E367" t="s">
        <v>18</v>
      </c>
      <c r="F367">
        <v>11.58</v>
      </c>
      <c r="G367">
        <v>5.71</v>
      </c>
      <c r="H367">
        <v>5.87</v>
      </c>
      <c r="I367">
        <v>8.02</v>
      </c>
      <c r="J367">
        <v>3</v>
      </c>
      <c r="K367">
        <v>9.9</v>
      </c>
      <c r="L367">
        <v>52.1</v>
      </c>
      <c r="M367">
        <v>103</v>
      </c>
      <c r="N367">
        <v>5.7</v>
      </c>
      <c r="O367">
        <v>22.3</v>
      </c>
    </row>
    <row r="368" spans="1:15" x14ac:dyDescent="0.3">
      <c r="A368" t="s">
        <v>392</v>
      </c>
      <c r="B368">
        <v>31</v>
      </c>
      <c r="C368" t="s">
        <v>24</v>
      </c>
      <c r="D368" t="s">
        <v>17</v>
      </c>
      <c r="E368" t="s">
        <v>22</v>
      </c>
      <c r="F368">
        <v>7.73</v>
      </c>
      <c r="G368">
        <v>1.52</v>
      </c>
      <c r="H368">
        <v>6.21</v>
      </c>
      <c r="I368">
        <v>6.22</v>
      </c>
      <c r="J368">
        <v>1</v>
      </c>
      <c r="K368">
        <v>7.1</v>
      </c>
      <c r="L368">
        <v>51.9</v>
      </c>
      <c r="M368">
        <v>47</v>
      </c>
      <c r="N368">
        <v>16.399999999999999</v>
      </c>
      <c r="O368">
        <v>20.7</v>
      </c>
    </row>
    <row r="369" spans="1:15" x14ac:dyDescent="0.3">
      <c r="A369" t="s">
        <v>393</v>
      </c>
      <c r="B369">
        <v>30</v>
      </c>
      <c r="C369" t="s">
        <v>16</v>
      </c>
      <c r="D369" t="s">
        <v>17</v>
      </c>
      <c r="E369" t="s">
        <v>18</v>
      </c>
      <c r="F369">
        <v>11.64</v>
      </c>
      <c r="G369">
        <v>6.11</v>
      </c>
      <c r="H369">
        <v>5.53</v>
      </c>
      <c r="I369">
        <v>6.7</v>
      </c>
      <c r="J369">
        <v>2</v>
      </c>
      <c r="K369">
        <v>10</v>
      </c>
      <c r="L369">
        <v>48.6</v>
      </c>
      <c r="M369">
        <v>178</v>
      </c>
      <c r="N369">
        <v>2</v>
      </c>
      <c r="O369">
        <v>8.1999999999999993</v>
      </c>
    </row>
    <row r="370" spans="1:15" x14ac:dyDescent="0.3">
      <c r="A370" t="s">
        <v>394</v>
      </c>
      <c r="B370">
        <v>30</v>
      </c>
      <c r="C370" t="s">
        <v>24</v>
      </c>
      <c r="D370" t="s">
        <v>29</v>
      </c>
      <c r="E370" t="s">
        <v>18</v>
      </c>
      <c r="F370">
        <v>8.06</v>
      </c>
      <c r="G370">
        <v>2.81</v>
      </c>
      <c r="H370">
        <v>5.25</v>
      </c>
      <c r="I370">
        <v>7.92</v>
      </c>
      <c r="J370">
        <v>2</v>
      </c>
      <c r="K370">
        <v>6.8</v>
      </c>
      <c r="L370">
        <v>63.3</v>
      </c>
      <c r="M370">
        <v>65</v>
      </c>
      <c r="N370">
        <v>0</v>
      </c>
      <c r="O370">
        <v>37.299999999999997</v>
      </c>
    </row>
    <row r="371" spans="1:15" x14ac:dyDescent="0.3">
      <c r="A371" t="s">
        <v>395</v>
      </c>
      <c r="B371">
        <v>23</v>
      </c>
      <c r="C371" t="s">
        <v>16</v>
      </c>
      <c r="D371" t="s">
        <v>26</v>
      </c>
      <c r="E371" t="s">
        <v>18</v>
      </c>
      <c r="F371">
        <v>9.0500000000000007</v>
      </c>
      <c r="G371">
        <v>3.83</v>
      </c>
      <c r="H371">
        <v>5.22</v>
      </c>
      <c r="I371">
        <v>7.31</v>
      </c>
      <c r="J371">
        <v>1</v>
      </c>
      <c r="K371">
        <v>7.4</v>
      </c>
      <c r="L371">
        <v>54.9</v>
      </c>
      <c r="M371">
        <v>179</v>
      </c>
      <c r="N371">
        <v>9.5</v>
      </c>
      <c r="O371">
        <v>18.5</v>
      </c>
    </row>
    <row r="372" spans="1:15" x14ac:dyDescent="0.3">
      <c r="A372" t="s">
        <v>396</v>
      </c>
      <c r="B372">
        <v>30</v>
      </c>
      <c r="C372" t="s">
        <v>16</v>
      </c>
      <c r="D372" t="s">
        <v>26</v>
      </c>
      <c r="E372" t="s">
        <v>18</v>
      </c>
      <c r="F372">
        <v>12.03</v>
      </c>
      <c r="G372">
        <v>4.84</v>
      </c>
      <c r="H372">
        <v>7.19</v>
      </c>
      <c r="I372">
        <v>6.55</v>
      </c>
      <c r="J372">
        <v>1</v>
      </c>
      <c r="K372">
        <v>10</v>
      </c>
      <c r="L372">
        <v>46.8</v>
      </c>
      <c r="M372">
        <v>69</v>
      </c>
      <c r="N372">
        <v>13.9</v>
      </c>
      <c r="O372">
        <v>1.2</v>
      </c>
    </row>
    <row r="373" spans="1:15" x14ac:dyDescent="0.3">
      <c r="A373" t="s">
        <v>397</v>
      </c>
      <c r="B373">
        <v>33</v>
      </c>
      <c r="C373" t="s">
        <v>24</v>
      </c>
      <c r="D373" t="s">
        <v>26</v>
      </c>
      <c r="E373" t="s">
        <v>18</v>
      </c>
      <c r="F373">
        <v>11.21</v>
      </c>
      <c r="G373">
        <v>4.8099999999999996</v>
      </c>
      <c r="H373">
        <v>6.4</v>
      </c>
      <c r="I373">
        <v>5.39</v>
      </c>
      <c r="J373">
        <v>1</v>
      </c>
      <c r="K373">
        <v>10</v>
      </c>
      <c r="L373">
        <v>34.1</v>
      </c>
      <c r="M373">
        <v>106</v>
      </c>
      <c r="N373">
        <v>7.9</v>
      </c>
      <c r="O373">
        <v>0.5</v>
      </c>
    </row>
    <row r="374" spans="1:15" x14ac:dyDescent="0.3">
      <c r="A374" t="s">
        <v>398</v>
      </c>
      <c r="B374">
        <v>41</v>
      </c>
      <c r="C374" t="s">
        <v>16</v>
      </c>
      <c r="D374" t="s">
        <v>17</v>
      </c>
      <c r="E374" t="s">
        <v>20</v>
      </c>
      <c r="F374">
        <v>10.37</v>
      </c>
      <c r="G374">
        <v>0.81</v>
      </c>
      <c r="H374">
        <v>9.56</v>
      </c>
      <c r="I374">
        <v>6.31</v>
      </c>
      <c r="J374">
        <v>1</v>
      </c>
      <c r="K374">
        <v>10</v>
      </c>
      <c r="L374">
        <v>45</v>
      </c>
      <c r="M374">
        <v>67</v>
      </c>
      <c r="N374">
        <v>1.8</v>
      </c>
      <c r="O374">
        <v>3</v>
      </c>
    </row>
    <row r="375" spans="1:15" x14ac:dyDescent="0.3">
      <c r="A375" t="s">
        <v>399</v>
      </c>
      <c r="B375">
        <v>37</v>
      </c>
      <c r="C375" t="s">
        <v>16</v>
      </c>
      <c r="D375" t="s">
        <v>17</v>
      </c>
      <c r="E375" t="s">
        <v>22</v>
      </c>
      <c r="F375">
        <v>5.98</v>
      </c>
      <c r="G375">
        <v>0.5</v>
      </c>
      <c r="H375">
        <v>5.48</v>
      </c>
      <c r="I375">
        <v>7.72</v>
      </c>
      <c r="J375">
        <v>2</v>
      </c>
      <c r="K375">
        <v>5.6</v>
      </c>
      <c r="L375">
        <v>72.5</v>
      </c>
      <c r="M375">
        <v>55</v>
      </c>
      <c r="N375">
        <v>5</v>
      </c>
      <c r="O375">
        <v>43.3</v>
      </c>
    </row>
    <row r="376" spans="1:15" x14ac:dyDescent="0.3">
      <c r="A376" t="s">
        <v>400</v>
      </c>
      <c r="B376">
        <v>47</v>
      </c>
      <c r="C376" t="s">
        <v>16</v>
      </c>
      <c r="D376" t="s">
        <v>26</v>
      </c>
      <c r="E376" t="s">
        <v>20</v>
      </c>
      <c r="F376">
        <v>7.77</v>
      </c>
      <c r="G376">
        <v>0.96</v>
      </c>
      <c r="H376">
        <v>6.81</v>
      </c>
      <c r="I376">
        <v>6.77</v>
      </c>
      <c r="J376">
        <v>1</v>
      </c>
      <c r="K376">
        <v>10</v>
      </c>
      <c r="L376">
        <v>44.3</v>
      </c>
      <c r="M376">
        <v>0</v>
      </c>
      <c r="N376">
        <v>0</v>
      </c>
      <c r="O376">
        <v>0</v>
      </c>
    </row>
    <row r="377" spans="1:15" x14ac:dyDescent="0.3">
      <c r="A377" t="s">
        <v>401</v>
      </c>
      <c r="B377">
        <v>23</v>
      </c>
      <c r="C377" t="s">
        <v>16</v>
      </c>
      <c r="D377" t="s">
        <v>37</v>
      </c>
      <c r="E377" t="s">
        <v>22</v>
      </c>
      <c r="F377">
        <v>10.19</v>
      </c>
      <c r="G377">
        <v>2.64</v>
      </c>
      <c r="H377">
        <v>7.55</v>
      </c>
      <c r="I377">
        <v>6.96</v>
      </c>
      <c r="J377">
        <v>1</v>
      </c>
      <c r="K377">
        <v>8</v>
      </c>
      <c r="L377">
        <v>56</v>
      </c>
      <c r="M377">
        <v>19</v>
      </c>
      <c r="N377">
        <v>11.1</v>
      </c>
      <c r="O377">
        <v>13.8</v>
      </c>
    </row>
    <row r="378" spans="1:15" x14ac:dyDescent="0.3">
      <c r="A378" t="s">
        <v>402</v>
      </c>
      <c r="B378">
        <v>36</v>
      </c>
      <c r="C378" t="s">
        <v>16</v>
      </c>
      <c r="D378" t="s">
        <v>26</v>
      </c>
      <c r="E378" t="s">
        <v>18</v>
      </c>
      <c r="F378">
        <v>11.61</v>
      </c>
      <c r="G378">
        <v>5.33</v>
      </c>
      <c r="H378">
        <v>6.28</v>
      </c>
      <c r="I378">
        <v>7.26</v>
      </c>
      <c r="J378">
        <v>2</v>
      </c>
      <c r="K378">
        <v>8.1999999999999993</v>
      </c>
      <c r="L378">
        <v>59.1</v>
      </c>
      <c r="M378">
        <v>69</v>
      </c>
      <c r="N378">
        <v>0</v>
      </c>
      <c r="O378">
        <v>25.1</v>
      </c>
    </row>
    <row r="379" spans="1:15" x14ac:dyDescent="0.3">
      <c r="A379" t="s">
        <v>403</v>
      </c>
      <c r="B379">
        <v>31</v>
      </c>
      <c r="C379" t="s">
        <v>24</v>
      </c>
      <c r="D379" t="s">
        <v>17</v>
      </c>
      <c r="E379" t="s">
        <v>22</v>
      </c>
      <c r="F379">
        <v>6.03</v>
      </c>
      <c r="G379">
        <v>0.79</v>
      </c>
      <c r="H379">
        <v>5.24</v>
      </c>
      <c r="I379">
        <v>8.2799999999999994</v>
      </c>
      <c r="J379">
        <v>2</v>
      </c>
      <c r="K379">
        <v>3.2</v>
      </c>
      <c r="L379">
        <v>76.5</v>
      </c>
      <c r="M379">
        <v>137</v>
      </c>
      <c r="N379">
        <v>9.4</v>
      </c>
      <c r="O379">
        <v>50.5</v>
      </c>
    </row>
    <row r="380" spans="1:15" x14ac:dyDescent="0.3">
      <c r="A380" t="s">
        <v>404</v>
      </c>
      <c r="B380">
        <v>47</v>
      </c>
      <c r="C380" t="s">
        <v>16</v>
      </c>
      <c r="D380" t="s">
        <v>17</v>
      </c>
      <c r="E380" t="s">
        <v>22</v>
      </c>
      <c r="F380">
        <v>5</v>
      </c>
      <c r="G380">
        <v>0.67</v>
      </c>
      <c r="H380">
        <v>4.33</v>
      </c>
      <c r="I380">
        <v>6.84</v>
      </c>
      <c r="J380">
        <v>1</v>
      </c>
      <c r="K380">
        <v>6.6</v>
      </c>
      <c r="L380">
        <v>63</v>
      </c>
      <c r="M380">
        <v>207</v>
      </c>
      <c r="N380">
        <v>4.5999999999999996</v>
      </c>
      <c r="O380">
        <v>27.3</v>
      </c>
    </row>
    <row r="381" spans="1:15" x14ac:dyDescent="0.3">
      <c r="A381" t="s">
        <v>405</v>
      </c>
      <c r="B381">
        <v>23</v>
      </c>
      <c r="C381" t="s">
        <v>24</v>
      </c>
      <c r="D381" t="s">
        <v>29</v>
      </c>
      <c r="E381" t="s">
        <v>18</v>
      </c>
      <c r="F381">
        <v>9.6199999999999992</v>
      </c>
      <c r="G381">
        <v>4.12</v>
      </c>
      <c r="H381">
        <v>5.5</v>
      </c>
      <c r="I381">
        <v>8.64</v>
      </c>
      <c r="J381">
        <v>2</v>
      </c>
      <c r="K381">
        <v>8.6999999999999993</v>
      </c>
      <c r="L381">
        <v>56.5</v>
      </c>
      <c r="M381">
        <v>66</v>
      </c>
      <c r="N381">
        <v>9.1999999999999993</v>
      </c>
      <c r="O381">
        <v>23.8</v>
      </c>
    </row>
    <row r="382" spans="1:15" x14ac:dyDescent="0.3">
      <c r="A382" t="s">
        <v>406</v>
      </c>
      <c r="B382">
        <v>23</v>
      </c>
      <c r="C382" t="s">
        <v>24</v>
      </c>
      <c r="D382" t="s">
        <v>17</v>
      </c>
      <c r="E382" t="s">
        <v>22</v>
      </c>
      <c r="F382">
        <v>14.02</v>
      </c>
      <c r="G382">
        <v>3.21</v>
      </c>
      <c r="H382">
        <v>10.81</v>
      </c>
      <c r="I382">
        <v>6.84</v>
      </c>
      <c r="J382">
        <v>3</v>
      </c>
      <c r="K382">
        <v>10</v>
      </c>
      <c r="L382">
        <v>47.3</v>
      </c>
      <c r="M382">
        <v>9</v>
      </c>
      <c r="N382">
        <v>6.6</v>
      </c>
      <c r="O382">
        <v>10.199999999999999</v>
      </c>
    </row>
    <row r="383" spans="1:15" x14ac:dyDescent="0.3">
      <c r="A383" t="s">
        <v>407</v>
      </c>
      <c r="B383">
        <v>25</v>
      </c>
      <c r="C383" t="s">
        <v>16</v>
      </c>
      <c r="D383" t="s">
        <v>29</v>
      </c>
      <c r="E383" t="s">
        <v>18</v>
      </c>
      <c r="F383">
        <v>14.07</v>
      </c>
      <c r="G383">
        <v>4.54</v>
      </c>
      <c r="H383">
        <v>9.5299999999999994</v>
      </c>
      <c r="I383">
        <v>6.24</v>
      </c>
      <c r="J383">
        <v>1</v>
      </c>
      <c r="K383">
        <v>10</v>
      </c>
      <c r="L383">
        <v>40.4</v>
      </c>
      <c r="M383">
        <v>0</v>
      </c>
      <c r="N383">
        <v>5.8</v>
      </c>
      <c r="O383">
        <v>5.8</v>
      </c>
    </row>
    <row r="384" spans="1:15" x14ac:dyDescent="0.3">
      <c r="A384" t="s">
        <v>408</v>
      </c>
      <c r="B384">
        <v>16</v>
      </c>
      <c r="C384" t="s">
        <v>16</v>
      </c>
      <c r="D384" t="s">
        <v>17</v>
      </c>
      <c r="E384" t="s">
        <v>22</v>
      </c>
      <c r="F384">
        <v>7.41</v>
      </c>
      <c r="G384">
        <v>1.01</v>
      </c>
      <c r="H384">
        <v>6.4</v>
      </c>
      <c r="I384">
        <v>8.02</v>
      </c>
      <c r="J384">
        <v>3</v>
      </c>
      <c r="K384">
        <v>4.9000000000000004</v>
      </c>
      <c r="L384">
        <v>81</v>
      </c>
      <c r="M384">
        <v>140</v>
      </c>
      <c r="N384">
        <v>7.2</v>
      </c>
      <c r="O384">
        <v>67.8</v>
      </c>
    </row>
    <row r="385" spans="1:15" x14ac:dyDescent="0.3">
      <c r="A385" t="s">
        <v>409</v>
      </c>
      <c r="B385">
        <v>25</v>
      </c>
      <c r="C385" t="s">
        <v>16</v>
      </c>
      <c r="D385" t="s">
        <v>29</v>
      </c>
      <c r="E385" t="s">
        <v>22</v>
      </c>
      <c r="F385">
        <v>7.63</v>
      </c>
      <c r="G385">
        <v>1.1299999999999999</v>
      </c>
      <c r="H385">
        <v>6.5</v>
      </c>
      <c r="I385">
        <v>9.1</v>
      </c>
      <c r="J385">
        <v>4</v>
      </c>
      <c r="K385">
        <v>4.5</v>
      </c>
      <c r="L385">
        <v>97.6</v>
      </c>
      <c r="M385">
        <v>207</v>
      </c>
      <c r="N385">
        <v>5</v>
      </c>
      <c r="O385">
        <v>71</v>
      </c>
    </row>
    <row r="386" spans="1:15" x14ac:dyDescent="0.3">
      <c r="A386" t="s">
        <v>410</v>
      </c>
      <c r="B386">
        <v>23</v>
      </c>
      <c r="C386" t="s">
        <v>24</v>
      </c>
      <c r="D386" t="s">
        <v>26</v>
      </c>
      <c r="E386" t="s">
        <v>18</v>
      </c>
      <c r="F386">
        <v>10.23</v>
      </c>
      <c r="G386">
        <v>6.7</v>
      </c>
      <c r="H386">
        <v>3.53</v>
      </c>
      <c r="I386">
        <v>5.64</v>
      </c>
      <c r="J386">
        <v>1</v>
      </c>
      <c r="K386">
        <v>10</v>
      </c>
      <c r="L386">
        <v>33.5</v>
      </c>
      <c r="M386">
        <v>182</v>
      </c>
      <c r="N386">
        <v>11.3</v>
      </c>
      <c r="O386">
        <v>8.8000000000000007</v>
      </c>
    </row>
    <row r="387" spans="1:15" x14ac:dyDescent="0.3">
      <c r="A387" t="s">
        <v>411</v>
      </c>
      <c r="B387">
        <v>31</v>
      </c>
      <c r="C387" t="s">
        <v>16</v>
      </c>
      <c r="D387" t="s">
        <v>29</v>
      </c>
      <c r="E387" t="s">
        <v>18</v>
      </c>
      <c r="F387">
        <v>10.44</v>
      </c>
      <c r="G387">
        <v>3.97</v>
      </c>
      <c r="H387">
        <v>6.47</v>
      </c>
      <c r="I387">
        <v>6.66</v>
      </c>
      <c r="J387">
        <v>1</v>
      </c>
      <c r="K387">
        <v>7.8</v>
      </c>
      <c r="L387">
        <v>50.4</v>
      </c>
      <c r="M387">
        <v>146</v>
      </c>
      <c r="N387">
        <v>6.4</v>
      </c>
      <c r="O387">
        <v>16.7</v>
      </c>
    </row>
    <row r="388" spans="1:15" x14ac:dyDescent="0.3">
      <c r="A388" t="s">
        <v>412</v>
      </c>
      <c r="B388">
        <v>32</v>
      </c>
      <c r="C388" t="s">
        <v>24</v>
      </c>
      <c r="D388" t="s">
        <v>17</v>
      </c>
      <c r="E388" t="s">
        <v>20</v>
      </c>
      <c r="F388">
        <v>5.84</v>
      </c>
      <c r="G388">
        <v>0.4</v>
      </c>
      <c r="H388">
        <v>5.44</v>
      </c>
      <c r="I388">
        <v>5.64</v>
      </c>
      <c r="J388">
        <v>1</v>
      </c>
      <c r="K388">
        <v>10</v>
      </c>
      <c r="L388">
        <v>43.8</v>
      </c>
      <c r="M388">
        <v>169</v>
      </c>
      <c r="N388">
        <v>6.7</v>
      </c>
      <c r="O388">
        <v>7</v>
      </c>
    </row>
    <row r="389" spans="1:15" x14ac:dyDescent="0.3">
      <c r="A389" t="s">
        <v>413</v>
      </c>
      <c r="B389">
        <v>45</v>
      </c>
      <c r="C389" t="s">
        <v>16</v>
      </c>
      <c r="D389" t="s">
        <v>29</v>
      </c>
      <c r="E389" t="s">
        <v>22</v>
      </c>
      <c r="F389">
        <v>8.6199999999999992</v>
      </c>
      <c r="G389">
        <v>1.94</v>
      </c>
      <c r="H389">
        <v>6.68</v>
      </c>
      <c r="I389">
        <v>7.41</v>
      </c>
      <c r="J389">
        <v>1</v>
      </c>
      <c r="K389">
        <v>9.6999999999999993</v>
      </c>
      <c r="L389">
        <v>49.9</v>
      </c>
      <c r="M389">
        <v>233</v>
      </c>
      <c r="N389">
        <v>18.5</v>
      </c>
      <c r="O389">
        <v>7.1</v>
      </c>
    </row>
    <row r="390" spans="1:15" x14ac:dyDescent="0.3">
      <c r="A390" t="s">
        <v>414</v>
      </c>
      <c r="B390">
        <v>37</v>
      </c>
      <c r="C390" t="s">
        <v>24</v>
      </c>
      <c r="D390" t="s">
        <v>17</v>
      </c>
      <c r="E390" t="s">
        <v>18</v>
      </c>
      <c r="F390">
        <v>10.34</v>
      </c>
      <c r="G390">
        <v>3.55</v>
      </c>
      <c r="H390">
        <v>6.79</v>
      </c>
      <c r="I390">
        <v>7.21</v>
      </c>
      <c r="J390">
        <v>1</v>
      </c>
      <c r="K390">
        <v>10</v>
      </c>
      <c r="L390">
        <v>32.799999999999997</v>
      </c>
      <c r="M390">
        <v>123</v>
      </c>
      <c r="N390">
        <v>9.5</v>
      </c>
      <c r="O390">
        <v>4.5</v>
      </c>
    </row>
    <row r="391" spans="1:15" x14ac:dyDescent="0.3">
      <c r="A391" t="s">
        <v>415</v>
      </c>
      <c r="B391">
        <v>25</v>
      </c>
      <c r="C391" t="s">
        <v>16</v>
      </c>
      <c r="D391" t="s">
        <v>17</v>
      </c>
      <c r="E391" t="s">
        <v>20</v>
      </c>
      <c r="F391">
        <v>10.47</v>
      </c>
      <c r="G391">
        <v>1.05</v>
      </c>
      <c r="H391">
        <v>9.42</v>
      </c>
      <c r="I391">
        <v>6.75</v>
      </c>
      <c r="J391">
        <v>2</v>
      </c>
      <c r="K391">
        <v>10</v>
      </c>
      <c r="L391">
        <v>50.4</v>
      </c>
      <c r="M391">
        <v>138</v>
      </c>
      <c r="N391">
        <v>6.3</v>
      </c>
      <c r="O391">
        <v>16.8</v>
      </c>
    </row>
    <row r="392" spans="1:15" x14ac:dyDescent="0.3">
      <c r="A392" t="s">
        <v>416</v>
      </c>
      <c r="B392">
        <v>22</v>
      </c>
      <c r="C392" t="s">
        <v>16</v>
      </c>
      <c r="D392" t="s">
        <v>17</v>
      </c>
      <c r="E392" t="s">
        <v>18</v>
      </c>
      <c r="F392">
        <v>11.79</v>
      </c>
      <c r="G392">
        <v>6.19</v>
      </c>
      <c r="H392">
        <v>5.6</v>
      </c>
      <c r="I392">
        <v>6.03</v>
      </c>
      <c r="J392">
        <v>1</v>
      </c>
      <c r="K392">
        <v>10</v>
      </c>
      <c r="L392">
        <v>36.5</v>
      </c>
      <c r="M392">
        <v>61</v>
      </c>
      <c r="N392">
        <v>11.7</v>
      </c>
      <c r="O392">
        <v>0</v>
      </c>
    </row>
    <row r="393" spans="1:15" x14ac:dyDescent="0.3">
      <c r="A393" t="s">
        <v>417</v>
      </c>
      <c r="B393">
        <v>33</v>
      </c>
      <c r="C393" t="s">
        <v>24</v>
      </c>
      <c r="D393" t="s">
        <v>17</v>
      </c>
      <c r="E393" t="s">
        <v>22</v>
      </c>
      <c r="F393">
        <v>7.49</v>
      </c>
      <c r="G393">
        <v>1.21</v>
      </c>
      <c r="H393">
        <v>6.28</v>
      </c>
      <c r="I393">
        <v>5.67</v>
      </c>
      <c r="J393">
        <v>1</v>
      </c>
      <c r="K393">
        <v>7.8</v>
      </c>
      <c r="L393">
        <v>51.2</v>
      </c>
      <c r="M393">
        <v>19</v>
      </c>
      <c r="N393">
        <v>17.600000000000001</v>
      </c>
      <c r="O393">
        <v>7.7</v>
      </c>
    </row>
    <row r="394" spans="1:15" x14ac:dyDescent="0.3">
      <c r="A394" t="s">
        <v>418</v>
      </c>
      <c r="B394">
        <v>19</v>
      </c>
      <c r="C394" t="s">
        <v>24</v>
      </c>
      <c r="D394" t="s">
        <v>26</v>
      </c>
      <c r="E394" t="s">
        <v>20</v>
      </c>
      <c r="F394">
        <v>10.75</v>
      </c>
      <c r="G394">
        <v>0.84</v>
      </c>
      <c r="H394">
        <v>9.91</v>
      </c>
      <c r="I394">
        <v>6.98</v>
      </c>
      <c r="J394">
        <v>1</v>
      </c>
      <c r="K394">
        <v>9.6999999999999993</v>
      </c>
      <c r="L394">
        <v>34.4</v>
      </c>
      <c r="M394">
        <v>40</v>
      </c>
      <c r="N394">
        <v>9</v>
      </c>
      <c r="O394">
        <v>0</v>
      </c>
    </row>
    <row r="395" spans="1:15" x14ac:dyDescent="0.3">
      <c r="A395" t="s">
        <v>419</v>
      </c>
      <c r="B395">
        <v>44</v>
      </c>
      <c r="C395" t="s">
        <v>16</v>
      </c>
      <c r="D395" t="s">
        <v>26</v>
      </c>
      <c r="E395" t="s">
        <v>18</v>
      </c>
      <c r="F395">
        <v>10.97</v>
      </c>
      <c r="G395">
        <v>4.21</v>
      </c>
      <c r="H395">
        <v>6.76</v>
      </c>
      <c r="I395">
        <v>8.06</v>
      </c>
      <c r="J395">
        <v>1</v>
      </c>
      <c r="K395">
        <v>10</v>
      </c>
      <c r="L395">
        <v>38.799999999999997</v>
      </c>
      <c r="M395">
        <v>99</v>
      </c>
      <c r="N395">
        <v>9.4</v>
      </c>
      <c r="O395">
        <v>1.9</v>
      </c>
    </row>
    <row r="396" spans="1:15" x14ac:dyDescent="0.3">
      <c r="A396" t="s">
        <v>420</v>
      </c>
      <c r="B396">
        <v>39</v>
      </c>
      <c r="C396" t="s">
        <v>24</v>
      </c>
      <c r="D396" t="s">
        <v>26</v>
      </c>
      <c r="E396" t="s">
        <v>18</v>
      </c>
      <c r="F396">
        <v>14</v>
      </c>
      <c r="G396">
        <v>6.2</v>
      </c>
      <c r="H396">
        <v>7.8</v>
      </c>
      <c r="I396">
        <v>5.92</v>
      </c>
      <c r="J396">
        <v>1</v>
      </c>
      <c r="K396">
        <v>10</v>
      </c>
      <c r="L396">
        <v>43.5</v>
      </c>
      <c r="M396">
        <v>83</v>
      </c>
      <c r="N396">
        <v>0.7</v>
      </c>
      <c r="O396">
        <v>5.7</v>
      </c>
    </row>
    <row r="397" spans="1:15" x14ac:dyDescent="0.3">
      <c r="A397" t="s">
        <v>421</v>
      </c>
      <c r="B397">
        <v>26</v>
      </c>
      <c r="C397" t="s">
        <v>16</v>
      </c>
      <c r="D397" t="s">
        <v>26</v>
      </c>
      <c r="E397" t="s">
        <v>18</v>
      </c>
      <c r="F397">
        <v>6.43</v>
      </c>
      <c r="G397">
        <v>2.99</v>
      </c>
      <c r="H397">
        <v>3.44</v>
      </c>
      <c r="I397">
        <v>7.75</v>
      </c>
      <c r="J397">
        <v>1</v>
      </c>
      <c r="K397">
        <v>5.9</v>
      </c>
      <c r="L397">
        <v>64.599999999999994</v>
      </c>
      <c r="M397">
        <v>252</v>
      </c>
      <c r="N397">
        <v>7.6</v>
      </c>
      <c r="O397">
        <v>39.299999999999997</v>
      </c>
    </row>
    <row r="398" spans="1:15" x14ac:dyDescent="0.3">
      <c r="A398" t="s">
        <v>422</v>
      </c>
      <c r="B398">
        <v>16</v>
      </c>
      <c r="C398" t="s">
        <v>24</v>
      </c>
      <c r="D398" t="s">
        <v>29</v>
      </c>
      <c r="E398" t="s">
        <v>18</v>
      </c>
      <c r="F398">
        <v>9.59</v>
      </c>
      <c r="G398">
        <v>5.44</v>
      </c>
      <c r="H398">
        <v>4.1500000000000004</v>
      </c>
      <c r="I398">
        <v>5.57</v>
      </c>
      <c r="J398">
        <v>1</v>
      </c>
      <c r="K398">
        <v>10</v>
      </c>
      <c r="L398">
        <v>47.4</v>
      </c>
      <c r="M398">
        <v>99</v>
      </c>
      <c r="N398">
        <v>7</v>
      </c>
      <c r="O398">
        <v>3.5</v>
      </c>
    </row>
    <row r="399" spans="1:15" x14ac:dyDescent="0.3">
      <c r="A399" t="s">
        <v>423</v>
      </c>
      <c r="B399">
        <v>40</v>
      </c>
      <c r="C399" t="s">
        <v>24</v>
      </c>
      <c r="D399" t="s">
        <v>26</v>
      </c>
      <c r="E399" t="s">
        <v>18</v>
      </c>
      <c r="F399">
        <v>8.7200000000000006</v>
      </c>
      <c r="G399">
        <v>2.36</v>
      </c>
      <c r="H399">
        <v>6.36</v>
      </c>
      <c r="I399">
        <v>7.56</v>
      </c>
      <c r="J399">
        <v>1</v>
      </c>
      <c r="K399">
        <v>9.4</v>
      </c>
      <c r="L399">
        <v>57.3</v>
      </c>
      <c r="M399">
        <v>193</v>
      </c>
      <c r="N399">
        <v>10.1</v>
      </c>
      <c r="O399">
        <v>6.6</v>
      </c>
    </row>
    <row r="400" spans="1:15" x14ac:dyDescent="0.3">
      <c r="A400" t="s">
        <v>424</v>
      </c>
      <c r="B400">
        <v>29</v>
      </c>
      <c r="C400" t="s">
        <v>16</v>
      </c>
      <c r="D400" t="s">
        <v>31</v>
      </c>
      <c r="E400" t="s">
        <v>22</v>
      </c>
      <c r="F400">
        <v>5.04</v>
      </c>
      <c r="G400">
        <v>0.94</v>
      </c>
      <c r="H400">
        <v>4.0999999999999996</v>
      </c>
      <c r="I400">
        <v>7.32</v>
      </c>
      <c r="J400">
        <v>1</v>
      </c>
      <c r="K400">
        <v>7.1</v>
      </c>
      <c r="L400">
        <v>63.6</v>
      </c>
      <c r="M400">
        <v>97</v>
      </c>
      <c r="N400">
        <v>12.1</v>
      </c>
      <c r="O400">
        <v>21</v>
      </c>
    </row>
    <row r="401" spans="1:15" x14ac:dyDescent="0.3">
      <c r="A401" t="s">
        <v>425</v>
      </c>
      <c r="B401">
        <v>39</v>
      </c>
      <c r="C401" t="s">
        <v>16</v>
      </c>
      <c r="D401" t="s">
        <v>17</v>
      </c>
      <c r="E401" t="s">
        <v>18</v>
      </c>
      <c r="F401">
        <v>8.86</v>
      </c>
      <c r="G401">
        <v>3.82</v>
      </c>
      <c r="H401">
        <v>5.04</v>
      </c>
      <c r="I401">
        <v>6.55</v>
      </c>
      <c r="J401">
        <v>1</v>
      </c>
      <c r="K401">
        <v>10</v>
      </c>
      <c r="L401">
        <v>41.4</v>
      </c>
      <c r="M401">
        <v>88</v>
      </c>
      <c r="N401">
        <v>9.8000000000000007</v>
      </c>
      <c r="O401">
        <v>8.4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E5C7-FA06-4D50-92F2-8DD9C9915222}">
  <dimension ref="A1:M394"/>
  <sheetViews>
    <sheetView zoomScale="40" zoomScaleNormal="40" workbookViewId="0">
      <selection activeCell="B6" sqref="B6"/>
    </sheetView>
  </sheetViews>
  <sheetFormatPr defaultRowHeight="14" x14ac:dyDescent="0.3"/>
  <cols>
    <col min="1" max="1" width="15.75" bestFit="1" customWidth="1"/>
    <col min="2" max="2" width="10.5" bestFit="1" customWidth="1"/>
    <col min="3" max="3" width="16.33203125" bestFit="1" customWidth="1"/>
    <col min="4" max="4" width="18.6640625" bestFit="1" customWidth="1"/>
    <col min="5" max="5" width="18.83203125" bestFit="1" customWidth="1"/>
    <col min="6" max="6" width="27.4140625" bestFit="1" customWidth="1"/>
    <col min="7" max="7" width="27.83203125" bestFit="1" customWidth="1"/>
    <col min="8" max="8" width="30.08203125" bestFit="1" customWidth="1"/>
    <col min="9" max="9" width="25.9140625" bestFit="1" customWidth="1"/>
    <col min="10" max="10" width="26.75" bestFit="1" customWidth="1"/>
    <col min="11" max="11" width="37.1640625" bestFit="1" customWidth="1"/>
    <col min="12" max="12" width="32.1640625" bestFit="1" customWidth="1"/>
    <col min="13" max="13" width="27.58203125" bestFit="1" customWidth="1"/>
    <col min="14" max="14" width="25.25" bestFit="1" customWidth="1"/>
    <col min="15" max="15" width="32.25" bestFit="1" customWidth="1"/>
    <col min="16" max="16" width="17.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426</v>
      </c>
    </row>
    <row r="2" spans="1:13" x14ac:dyDescent="0.3">
      <c r="A2" t="s">
        <v>15</v>
      </c>
      <c r="B2">
        <v>33</v>
      </c>
      <c r="C2" t="s">
        <v>16</v>
      </c>
      <c r="D2" t="s">
        <v>17</v>
      </c>
      <c r="E2" t="s">
        <v>18</v>
      </c>
      <c r="F2">
        <v>10.79</v>
      </c>
      <c r="G2">
        <v>5.44</v>
      </c>
      <c r="H2">
        <v>5.35</v>
      </c>
      <c r="I2">
        <v>9.3000000000000007</v>
      </c>
      <c r="J2">
        <v>44.7</v>
      </c>
      <c r="K2">
        <v>127</v>
      </c>
      <c r="L2">
        <v>0.7</v>
      </c>
      <c r="M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" spans="1:13" x14ac:dyDescent="0.3">
      <c r="A3" t="s">
        <v>19</v>
      </c>
      <c r="B3">
        <v>28</v>
      </c>
      <c r="C3" t="s">
        <v>16</v>
      </c>
      <c r="D3" t="s">
        <v>17</v>
      </c>
      <c r="E3" t="s">
        <v>20</v>
      </c>
      <c r="F3">
        <v>7.4</v>
      </c>
      <c r="G3">
        <v>0.37</v>
      </c>
      <c r="H3">
        <v>7.03</v>
      </c>
      <c r="I3">
        <v>5.7</v>
      </c>
      <c r="J3">
        <v>78</v>
      </c>
      <c r="K3">
        <v>74</v>
      </c>
      <c r="L3">
        <v>2.1</v>
      </c>
      <c r="M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" spans="1:13" x14ac:dyDescent="0.3">
      <c r="A4" t="s">
        <v>21</v>
      </c>
      <c r="B4">
        <v>35</v>
      </c>
      <c r="C4" t="s">
        <v>16</v>
      </c>
      <c r="D4" t="s">
        <v>17</v>
      </c>
      <c r="E4" t="s">
        <v>22</v>
      </c>
      <c r="F4">
        <v>9.7799999999999994</v>
      </c>
      <c r="G4">
        <v>1.0900000000000001</v>
      </c>
      <c r="H4">
        <v>8.69</v>
      </c>
      <c r="I4">
        <v>9.1</v>
      </c>
      <c r="J4">
        <v>51.8</v>
      </c>
      <c r="K4">
        <v>67</v>
      </c>
      <c r="L4">
        <v>8</v>
      </c>
      <c r="M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" spans="1:13" x14ac:dyDescent="0.3">
      <c r="A5" t="s">
        <v>23</v>
      </c>
      <c r="B5">
        <v>42</v>
      </c>
      <c r="C5" t="s">
        <v>24</v>
      </c>
      <c r="D5" t="s">
        <v>17</v>
      </c>
      <c r="E5" t="s">
        <v>22</v>
      </c>
      <c r="F5">
        <v>11.13</v>
      </c>
      <c r="G5">
        <v>0.56000000000000005</v>
      </c>
      <c r="H5">
        <v>10.57</v>
      </c>
      <c r="I5">
        <v>10</v>
      </c>
      <c r="J5">
        <v>37</v>
      </c>
      <c r="K5">
        <v>0</v>
      </c>
      <c r="L5">
        <v>5.7</v>
      </c>
      <c r="M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" spans="1:13" x14ac:dyDescent="0.3">
      <c r="A6" t="s">
        <v>25</v>
      </c>
      <c r="B6">
        <v>28</v>
      </c>
      <c r="C6" t="s">
        <v>24</v>
      </c>
      <c r="D6" t="s">
        <v>26</v>
      </c>
      <c r="E6" t="s">
        <v>18</v>
      </c>
      <c r="F6">
        <v>13.22</v>
      </c>
      <c r="G6">
        <v>4.09</v>
      </c>
      <c r="H6">
        <v>9.1300000000000008</v>
      </c>
      <c r="I6">
        <v>10</v>
      </c>
      <c r="J6">
        <v>38.5</v>
      </c>
      <c r="K6">
        <v>143</v>
      </c>
      <c r="L6">
        <v>10.1</v>
      </c>
      <c r="M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" spans="1:13" x14ac:dyDescent="0.3">
      <c r="A7" t="s">
        <v>27</v>
      </c>
      <c r="B7">
        <v>28</v>
      </c>
      <c r="C7" t="s">
        <v>28</v>
      </c>
      <c r="D7" t="s">
        <v>29</v>
      </c>
      <c r="E7" t="s">
        <v>22</v>
      </c>
      <c r="F7">
        <v>9.83</v>
      </c>
      <c r="G7">
        <v>0.53</v>
      </c>
      <c r="H7">
        <v>9.3000000000000007</v>
      </c>
      <c r="I7">
        <v>10</v>
      </c>
      <c r="J7">
        <v>44</v>
      </c>
      <c r="K7">
        <v>71</v>
      </c>
      <c r="L7">
        <v>10.3</v>
      </c>
      <c r="M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" spans="1:13" x14ac:dyDescent="0.3">
      <c r="A8" t="s">
        <v>30</v>
      </c>
      <c r="B8">
        <v>42</v>
      </c>
      <c r="C8" t="s">
        <v>28</v>
      </c>
      <c r="D8" t="s">
        <v>31</v>
      </c>
      <c r="E8" t="s">
        <v>18</v>
      </c>
      <c r="F8">
        <v>6.02</v>
      </c>
      <c r="G8">
        <v>2.82</v>
      </c>
      <c r="H8">
        <v>3.2</v>
      </c>
      <c r="I8">
        <v>6.1</v>
      </c>
      <c r="J8">
        <v>64.8</v>
      </c>
      <c r="K8">
        <v>141</v>
      </c>
      <c r="L8">
        <v>4.7</v>
      </c>
      <c r="M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" spans="1:13" x14ac:dyDescent="0.3">
      <c r="A9" t="s">
        <v>32</v>
      </c>
      <c r="B9">
        <v>36</v>
      </c>
      <c r="C9" t="s">
        <v>24</v>
      </c>
      <c r="D9" t="s">
        <v>17</v>
      </c>
      <c r="E9" t="s">
        <v>20</v>
      </c>
      <c r="F9">
        <v>6.21</v>
      </c>
      <c r="G9">
        <v>0.75</v>
      </c>
      <c r="H9">
        <v>5.46</v>
      </c>
      <c r="I9">
        <v>5.4</v>
      </c>
      <c r="J9">
        <v>87</v>
      </c>
      <c r="K9">
        <v>51</v>
      </c>
      <c r="L9">
        <v>18.7</v>
      </c>
      <c r="M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" spans="1:13" x14ac:dyDescent="0.3">
      <c r="A10" t="s">
        <v>33</v>
      </c>
      <c r="B10">
        <v>26</v>
      </c>
      <c r="C10" t="s">
        <v>24</v>
      </c>
      <c r="D10" t="s">
        <v>26</v>
      </c>
      <c r="E10" t="s">
        <v>20</v>
      </c>
      <c r="F10">
        <v>6.28</v>
      </c>
      <c r="G10">
        <v>0.67</v>
      </c>
      <c r="H10">
        <v>5.61</v>
      </c>
      <c r="I10">
        <v>1.6</v>
      </c>
      <c r="J10">
        <v>91.7</v>
      </c>
      <c r="K10">
        <v>149</v>
      </c>
      <c r="L10">
        <v>10.1</v>
      </c>
      <c r="M1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" spans="1:13" x14ac:dyDescent="0.3">
      <c r="A11" t="s">
        <v>34</v>
      </c>
      <c r="B11">
        <v>34</v>
      </c>
      <c r="C11" t="s">
        <v>24</v>
      </c>
      <c r="D11" t="s">
        <v>17</v>
      </c>
      <c r="E11" t="s">
        <v>22</v>
      </c>
      <c r="F11">
        <v>9.3699999999999992</v>
      </c>
      <c r="G11">
        <v>0.84</v>
      </c>
      <c r="H11">
        <v>8.5299999999999994</v>
      </c>
      <c r="I11">
        <v>10</v>
      </c>
      <c r="J11">
        <v>42.2</v>
      </c>
      <c r="K11">
        <v>50</v>
      </c>
      <c r="L11">
        <v>12.7</v>
      </c>
      <c r="M1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" spans="1:13" x14ac:dyDescent="0.3">
      <c r="A12" t="s">
        <v>35</v>
      </c>
      <c r="B12">
        <v>26</v>
      </c>
      <c r="C12" t="s">
        <v>24</v>
      </c>
      <c r="D12" t="s">
        <v>26</v>
      </c>
      <c r="E12" t="s">
        <v>18</v>
      </c>
      <c r="F12">
        <v>9.8699999999999992</v>
      </c>
      <c r="G12">
        <v>3.02</v>
      </c>
      <c r="H12">
        <v>6.85</v>
      </c>
      <c r="I12">
        <v>8.8000000000000007</v>
      </c>
      <c r="J12">
        <v>55.9</v>
      </c>
      <c r="K12">
        <v>87</v>
      </c>
      <c r="L12">
        <v>6.2</v>
      </c>
      <c r="M1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" spans="1:13" x14ac:dyDescent="0.3">
      <c r="A13" t="s">
        <v>36</v>
      </c>
      <c r="B13">
        <v>26</v>
      </c>
      <c r="C13" t="s">
        <v>16</v>
      </c>
      <c r="D13" t="s">
        <v>37</v>
      </c>
      <c r="E13" t="s">
        <v>22</v>
      </c>
      <c r="F13">
        <v>4.96</v>
      </c>
      <c r="G13">
        <v>0.25</v>
      </c>
      <c r="H13">
        <v>4.71</v>
      </c>
      <c r="I13">
        <v>4.5999999999999996</v>
      </c>
      <c r="J13">
        <v>88.4</v>
      </c>
      <c r="K13">
        <v>188</v>
      </c>
      <c r="L13">
        <v>12.5</v>
      </c>
      <c r="M1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" spans="1:13" x14ac:dyDescent="0.3">
      <c r="A14" t="s">
        <v>38</v>
      </c>
      <c r="B14">
        <v>31</v>
      </c>
      <c r="C14" t="s">
        <v>16</v>
      </c>
      <c r="D14" t="s">
        <v>26</v>
      </c>
      <c r="E14" t="s">
        <v>18</v>
      </c>
      <c r="F14">
        <v>12.55</v>
      </c>
      <c r="G14">
        <v>6.8</v>
      </c>
      <c r="H14">
        <v>5.75</v>
      </c>
      <c r="I14">
        <v>10</v>
      </c>
      <c r="J14">
        <v>33</v>
      </c>
      <c r="K14">
        <v>139</v>
      </c>
      <c r="L14">
        <v>11.3</v>
      </c>
      <c r="M1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" spans="1:13" x14ac:dyDescent="0.3">
      <c r="A15" t="s">
        <v>39</v>
      </c>
      <c r="B15">
        <v>16</v>
      </c>
      <c r="C15" t="s">
        <v>16</v>
      </c>
      <c r="D15" t="s">
        <v>17</v>
      </c>
      <c r="E15" t="s">
        <v>18</v>
      </c>
      <c r="F15">
        <v>7.86</v>
      </c>
      <c r="G15">
        <v>4.33</v>
      </c>
      <c r="H15">
        <v>3.53</v>
      </c>
      <c r="I15">
        <v>6.3</v>
      </c>
      <c r="J15">
        <v>70.7</v>
      </c>
      <c r="K15">
        <v>102</v>
      </c>
      <c r="L15">
        <v>8.6</v>
      </c>
      <c r="M1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" spans="1:13" x14ac:dyDescent="0.3">
      <c r="A16" t="s">
        <v>40</v>
      </c>
      <c r="B16">
        <v>16</v>
      </c>
      <c r="C16" t="s">
        <v>24</v>
      </c>
      <c r="D16" t="s">
        <v>17</v>
      </c>
      <c r="E16" t="s">
        <v>22</v>
      </c>
      <c r="F16">
        <v>9.07</v>
      </c>
      <c r="G16">
        <v>0.79</v>
      </c>
      <c r="H16">
        <v>8.2799999999999994</v>
      </c>
      <c r="I16">
        <v>10</v>
      </c>
      <c r="J16">
        <v>53.2</v>
      </c>
      <c r="K16">
        <v>0</v>
      </c>
      <c r="L16">
        <v>0</v>
      </c>
      <c r="M1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" spans="1:13" x14ac:dyDescent="0.3">
      <c r="A17" t="s">
        <v>41</v>
      </c>
      <c r="B17">
        <v>25</v>
      </c>
      <c r="C17" t="s">
        <v>24</v>
      </c>
      <c r="D17" t="s">
        <v>17</v>
      </c>
      <c r="E17" t="s">
        <v>22</v>
      </c>
      <c r="F17">
        <v>13.49</v>
      </c>
      <c r="G17">
        <v>2.82</v>
      </c>
      <c r="H17">
        <v>10.67</v>
      </c>
      <c r="I17">
        <v>10</v>
      </c>
      <c r="J17">
        <v>37.6</v>
      </c>
      <c r="K17">
        <v>284</v>
      </c>
      <c r="L17">
        <v>2.8</v>
      </c>
      <c r="M1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" spans="1:13" x14ac:dyDescent="0.3">
      <c r="A18" t="s">
        <v>42</v>
      </c>
      <c r="B18">
        <v>21</v>
      </c>
      <c r="C18" t="s">
        <v>16</v>
      </c>
      <c r="D18" t="s">
        <v>17</v>
      </c>
      <c r="E18" t="s">
        <v>20</v>
      </c>
      <c r="F18">
        <v>8.86</v>
      </c>
      <c r="G18">
        <v>0.82</v>
      </c>
      <c r="H18">
        <v>8.0399999999999991</v>
      </c>
      <c r="I18">
        <v>10</v>
      </c>
      <c r="J18">
        <v>60.3</v>
      </c>
      <c r="K18">
        <v>223</v>
      </c>
      <c r="L18">
        <v>13.1</v>
      </c>
      <c r="M1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" spans="1:13" x14ac:dyDescent="0.3">
      <c r="A19" t="s">
        <v>43</v>
      </c>
      <c r="B19">
        <v>32</v>
      </c>
      <c r="C19" t="s">
        <v>24</v>
      </c>
      <c r="D19" t="s">
        <v>29</v>
      </c>
      <c r="E19" t="s">
        <v>22</v>
      </c>
      <c r="F19">
        <v>7.13</v>
      </c>
      <c r="G19">
        <v>0.82</v>
      </c>
      <c r="H19">
        <v>6.31</v>
      </c>
      <c r="I19">
        <v>7</v>
      </c>
      <c r="J19">
        <v>49</v>
      </c>
      <c r="K19">
        <v>167</v>
      </c>
      <c r="L19">
        <v>11.6</v>
      </c>
      <c r="M1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" spans="1:13" x14ac:dyDescent="0.3">
      <c r="A20" t="s">
        <v>44</v>
      </c>
      <c r="B20">
        <v>22</v>
      </c>
      <c r="C20" t="s">
        <v>24</v>
      </c>
      <c r="D20" t="s">
        <v>26</v>
      </c>
      <c r="E20" t="s">
        <v>22</v>
      </c>
      <c r="F20">
        <v>8.18</v>
      </c>
      <c r="G20">
        <v>0.7</v>
      </c>
      <c r="H20">
        <v>7.48</v>
      </c>
      <c r="I20">
        <v>4.2</v>
      </c>
      <c r="J20">
        <v>85.1</v>
      </c>
      <c r="K20">
        <v>52</v>
      </c>
      <c r="L20">
        <v>11.2</v>
      </c>
      <c r="M2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" spans="1:13" x14ac:dyDescent="0.3">
      <c r="A21" t="s">
        <v>45</v>
      </c>
      <c r="B21">
        <v>18</v>
      </c>
      <c r="C21" t="s">
        <v>16</v>
      </c>
      <c r="D21" t="s">
        <v>26</v>
      </c>
      <c r="E21" t="s">
        <v>18</v>
      </c>
      <c r="F21">
        <v>10.26</v>
      </c>
      <c r="G21">
        <v>5.73</v>
      </c>
      <c r="H21">
        <v>4.53</v>
      </c>
      <c r="I21">
        <v>9.4</v>
      </c>
      <c r="J21">
        <v>52</v>
      </c>
      <c r="K21">
        <v>82</v>
      </c>
      <c r="L21">
        <v>1.5</v>
      </c>
      <c r="M2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" spans="1:13" x14ac:dyDescent="0.3">
      <c r="A22" t="s">
        <v>46</v>
      </c>
      <c r="B22">
        <v>41</v>
      </c>
      <c r="C22" t="s">
        <v>16</v>
      </c>
      <c r="D22" t="s">
        <v>26</v>
      </c>
      <c r="E22" t="s">
        <v>18</v>
      </c>
      <c r="F22">
        <v>10.14</v>
      </c>
      <c r="G22">
        <v>3.29</v>
      </c>
      <c r="H22">
        <v>6.85</v>
      </c>
      <c r="I22">
        <v>10</v>
      </c>
      <c r="J22">
        <v>48.1</v>
      </c>
      <c r="K22">
        <v>65</v>
      </c>
      <c r="L22">
        <v>2.8</v>
      </c>
      <c r="M2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" spans="1:13" x14ac:dyDescent="0.3">
      <c r="A23" t="s">
        <v>47</v>
      </c>
      <c r="B23">
        <v>28</v>
      </c>
      <c r="C23" t="s">
        <v>24</v>
      </c>
      <c r="D23" t="s">
        <v>37</v>
      </c>
      <c r="E23" t="s">
        <v>18</v>
      </c>
      <c r="F23">
        <v>7.52</v>
      </c>
      <c r="G23">
        <v>2.89</v>
      </c>
      <c r="H23">
        <v>4.63</v>
      </c>
      <c r="I23">
        <v>8.1</v>
      </c>
      <c r="J23">
        <v>53.1</v>
      </c>
      <c r="K23">
        <v>200</v>
      </c>
      <c r="L23">
        <v>13.2</v>
      </c>
      <c r="M2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" spans="1:13" x14ac:dyDescent="0.3">
      <c r="A24" t="s">
        <v>48</v>
      </c>
      <c r="B24">
        <v>30</v>
      </c>
      <c r="C24" t="s">
        <v>24</v>
      </c>
      <c r="D24" t="s">
        <v>29</v>
      </c>
      <c r="E24" t="s">
        <v>20</v>
      </c>
      <c r="F24">
        <v>7.67</v>
      </c>
      <c r="G24">
        <v>1.65</v>
      </c>
      <c r="H24">
        <v>6.02</v>
      </c>
      <c r="I24">
        <v>5.0999999999999996</v>
      </c>
      <c r="J24">
        <v>76.400000000000006</v>
      </c>
      <c r="K24">
        <v>130</v>
      </c>
      <c r="L24">
        <v>8.9</v>
      </c>
      <c r="M2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" spans="1:13" x14ac:dyDescent="0.3">
      <c r="A25" t="s">
        <v>49</v>
      </c>
      <c r="B25">
        <v>18</v>
      </c>
      <c r="C25" t="s">
        <v>24</v>
      </c>
      <c r="D25" t="s">
        <v>17</v>
      </c>
      <c r="E25" t="s">
        <v>18</v>
      </c>
      <c r="F25">
        <v>5.74</v>
      </c>
      <c r="G25">
        <v>2.33</v>
      </c>
      <c r="H25">
        <v>3.41</v>
      </c>
      <c r="I25">
        <v>3.7</v>
      </c>
      <c r="J25">
        <v>77.3</v>
      </c>
      <c r="K25">
        <v>63</v>
      </c>
      <c r="L25">
        <v>17.600000000000001</v>
      </c>
      <c r="M2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" spans="1:13" x14ac:dyDescent="0.3">
      <c r="A26" t="s">
        <v>50</v>
      </c>
      <c r="B26">
        <v>25</v>
      </c>
      <c r="C26" t="s">
        <v>24</v>
      </c>
      <c r="D26" t="s">
        <v>17</v>
      </c>
      <c r="E26" t="s">
        <v>20</v>
      </c>
      <c r="F26">
        <v>8.93</v>
      </c>
      <c r="G26">
        <v>0.45</v>
      </c>
      <c r="H26">
        <v>8.48</v>
      </c>
      <c r="I26">
        <v>9.8000000000000007</v>
      </c>
      <c r="J26">
        <v>50.3</v>
      </c>
      <c r="K26">
        <v>69</v>
      </c>
      <c r="L26">
        <v>8.5</v>
      </c>
      <c r="M2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" spans="1:13" x14ac:dyDescent="0.3">
      <c r="A27" t="s">
        <v>51</v>
      </c>
      <c r="B27">
        <v>30</v>
      </c>
      <c r="C27" t="s">
        <v>24</v>
      </c>
      <c r="D27" t="s">
        <v>17</v>
      </c>
      <c r="E27" t="s">
        <v>22</v>
      </c>
      <c r="F27">
        <v>7.05</v>
      </c>
      <c r="G27">
        <v>0.8</v>
      </c>
      <c r="H27">
        <v>6.25</v>
      </c>
      <c r="I27">
        <v>10</v>
      </c>
      <c r="J27">
        <v>51</v>
      </c>
      <c r="K27">
        <v>194</v>
      </c>
      <c r="L27">
        <v>8.6</v>
      </c>
      <c r="M2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" spans="1:13" x14ac:dyDescent="0.3">
      <c r="A28" t="s">
        <v>52</v>
      </c>
      <c r="B28">
        <v>20</v>
      </c>
      <c r="C28" t="s">
        <v>24</v>
      </c>
      <c r="D28" t="s">
        <v>26</v>
      </c>
      <c r="E28" t="s">
        <v>18</v>
      </c>
      <c r="F28">
        <v>11.3</v>
      </c>
      <c r="G28">
        <v>5.17</v>
      </c>
      <c r="H28">
        <v>6.13</v>
      </c>
      <c r="I28">
        <v>10</v>
      </c>
      <c r="J28">
        <v>53.3</v>
      </c>
      <c r="K28">
        <v>197</v>
      </c>
      <c r="L28">
        <v>7.4</v>
      </c>
      <c r="M2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" spans="1:13" x14ac:dyDescent="0.3">
      <c r="A29" t="s">
        <v>53</v>
      </c>
      <c r="B29">
        <v>33</v>
      </c>
      <c r="C29" t="s">
        <v>24</v>
      </c>
      <c r="D29" t="s">
        <v>37</v>
      </c>
      <c r="E29" t="s">
        <v>20</v>
      </c>
      <c r="F29">
        <v>6.61</v>
      </c>
      <c r="G29">
        <v>0.33</v>
      </c>
      <c r="H29">
        <v>6.28</v>
      </c>
      <c r="I29">
        <v>7</v>
      </c>
      <c r="J29">
        <v>60</v>
      </c>
      <c r="K29">
        <v>227</v>
      </c>
      <c r="L29">
        <v>3.5</v>
      </c>
      <c r="M2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" spans="1:13" x14ac:dyDescent="0.3">
      <c r="A30" t="s">
        <v>54</v>
      </c>
      <c r="B30">
        <v>25</v>
      </c>
      <c r="C30" t="s">
        <v>24</v>
      </c>
      <c r="D30" t="s">
        <v>17</v>
      </c>
      <c r="E30" t="s">
        <v>22</v>
      </c>
      <c r="F30">
        <v>7.43</v>
      </c>
      <c r="G30">
        <v>0.73</v>
      </c>
      <c r="H30">
        <v>6.7</v>
      </c>
      <c r="I30">
        <v>7.6</v>
      </c>
      <c r="J30">
        <v>61.1</v>
      </c>
      <c r="K30">
        <v>164</v>
      </c>
      <c r="L30">
        <v>0</v>
      </c>
      <c r="M3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" spans="1:13" x14ac:dyDescent="0.3">
      <c r="A31" t="s">
        <v>55</v>
      </c>
      <c r="B31">
        <v>27</v>
      </c>
      <c r="C31" t="s">
        <v>16</v>
      </c>
      <c r="D31" t="s">
        <v>17</v>
      </c>
      <c r="E31" t="s">
        <v>20</v>
      </c>
      <c r="F31">
        <v>9.57</v>
      </c>
      <c r="G31">
        <v>0.48</v>
      </c>
      <c r="H31">
        <v>9.09</v>
      </c>
      <c r="I31">
        <v>10</v>
      </c>
      <c r="J31">
        <v>38</v>
      </c>
      <c r="K31">
        <v>81</v>
      </c>
      <c r="L31">
        <v>9.1</v>
      </c>
      <c r="M3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" spans="1:13" x14ac:dyDescent="0.3">
      <c r="A32" t="s">
        <v>56</v>
      </c>
      <c r="B32">
        <v>25</v>
      </c>
      <c r="C32" t="s">
        <v>16</v>
      </c>
      <c r="D32" t="s">
        <v>17</v>
      </c>
      <c r="E32" t="s">
        <v>20</v>
      </c>
      <c r="F32">
        <v>6.37</v>
      </c>
      <c r="G32">
        <v>0.78</v>
      </c>
      <c r="H32">
        <v>5.59</v>
      </c>
      <c r="I32">
        <v>8.5</v>
      </c>
      <c r="J32">
        <v>52.1</v>
      </c>
      <c r="K32">
        <v>0</v>
      </c>
      <c r="L32">
        <v>8.9</v>
      </c>
      <c r="M3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" spans="1:13" x14ac:dyDescent="0.3">
      <c r="A33" t="s">
        <v>57</v>
      </c>
      <c r="B33">
        <v>44</v>
      </c>
      <c r="C33" t="s">
        <v>16</v>
      </c>
      <c r="D33" t="s">
        <v>26</v>
      </c>
      <c r="E33" t="s">
        <v>18</v>
      </c>
      <c r="F33">
        <v>14.35</v>
      </c>
      <c r="G33">
        <v>7.54</v>
      </c>
      <c r="H33">
        <v>6.81</v>
      </c>
      <c r="I33">
        <v>10</v>
      </c>
      <c r="J33">
        <v>42.6</v>
      </c>
      <c r="K33">
        <v>100</v>
      </c>
      <c r="L33">
        <v>5.0999999999999996</v>
      </c>
      <c r="M3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" spans="1:13" x14ac:dyDescent="0.3">
      <c r="A34" t="s">
        <v>58</v>
      </c>
      <c r="B34">
        <v>29</v>
      </c>
      <c r="C34" t="s">
        <v>24</v>
      </c>
      <c r="D34" t="s">
        <v>26</v>
      </c>
      <c r="E34" t="s">
        <v>18</v>
      </c>
      <c r="F34">
        <v>6.89</v>
      </c>
      <c r="G34">
        <v>1.25</v>
      </c>
      <c r="H34">
        <v>5.64</v>
      </c>
      <c r="I34">
        <v>7</v>
      </c>
      <c r="J34">
        <v>60.3</v>
      </c>
      <c r="K34">
        <v>116</v>
      </c>
      <c r="L34">
        <v>0.2</v>
      </c>
      <c r="M3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" spans="1:13" x14ac:dyDescent="0.3">
      <c r="A35" t="s">
        <v>59</v>
      </c>
      <c r="B35">
        <v>21</v>
      </c>
      <c r="C35" t="s">
        <v>24</v>
      </c>
      <c r="D35" t="s">
        <v>17</v>
      </c>
      <c r="E35" t="s">
        <v>22</v>
      </c>
      <c r="F35">
        <v>11.38</v>
      </c>
      <c r="G35">
        <v>0.56999999999999995</v>
      </c>
      <c r="H35">
        <v>10.81</v>
      </c>
      <c r="I35">
        <v>9.9</v>
      </c>
      <c r="J35">
        <v>57</v>
      </c>
      <c r="K35">
        <v>95</v>
      </c>
      <c r="L35">
        <v>11.4</v>
      </c>
      <c r="M3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" spans="1:13" x14ac:dyDescent="0.3">
      <c r="A36" t="s">
        <v>60</v>
      </c>
      <c r="B36">
        <v>36</v>
      </c>
      <c r="C36" t="s">
        <v>24</v>
      </c>
      <c r="D36" t="s">
        <v>26</v>
      </c>
      <c r="E36" t="s">
        <v>20</v>
      </c>
      <c r="F36">
        <v>13.05</v>
      </c>
      <c r="G36">
        <v>0.65</v>
      </c>
      <c r="H36">
        <v>12.4</v>
      </c>
      <c r="I36">
        <v>10</v>
      </c>
      <c r="J36">
        <v>39.6</v>
      </c>
      <c r="K36">
        <v>86</v>
      </c>
      <c r="L36">
        <v>4.2</v>
      </c>
      <c r="M3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" spans="1:13" x14ac:dyDescent="0.3">
      <c r="A37" t="s">
        <v>61</v>
      </c>
      <c r="B37">
        <v>20</v>
      </c>
      <c r="C37" t="s">
        <v>16</v>
      </c>
      <c r="D37" t="s">
        <v>17</v>
      </c>
      <c r="E37" t="s">
        <v>18</v>
      </c>
      <c r="F37">
        <v>7.47</v>
      </c>
      <c r="G37">
        <v>3.01</v>
      </c>
      <c r="H37">
        <v>4.46</v>
      </c>
      <c r="I37">
        <v>8.4</v>
      </c>
      <c r="J37">
        <v>53.6</v>
      </c>
      <c r="K37">
        <v>15</v>
      </c>
      <c r="L37">
        <v>14.3</v>
      </c>
      <c r="M3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" spans="1:13" x14ac:dyDescent="0.3">
      <c r="A38" t="s">
        <v>62</v>
      </c>
      <c r="B38">
        <v>31</v>
      </c>
      <c r="C38" t="s">
        <v>16</v>
      </c>
      <c r="D38" t="s">
        <v>26</v>
      </c>
      <c r="E38" t="s">
        <v>22</v>
      </c>
      <c r="F38">
        <v>9.93</v>
      </c>
      <c r="G38">
        <v>1.89</v>
      </c>
      <c r="H38">
        <v>8.0399999999999991</v>
      </c>
      <c r="I38">
        <v>9.5</v>
      </c>
      <c r="J38">
        <v>45.7</v>
      </c>
      <c r="K38">
        <v>138</v>
      </c>
      <c r="L38">
        <v>15.2</v>
      </c>
      <c r="M3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9" spans="1:13" x14ac:dyDescent="0.3">
      <c r="A39" t="s">
        <v>63</v>
      </c>
      <c r="B39">
        <v>16</v>
      </c>
      <c r="C39" t="s">
        <v>16</v>
      </c>
      <c r="D39" t="s">
        <v>17</v>
      </c>
      <c r="E39" t="s">
        <v>22</v>
      </c>
      <c r="F39">
        <v>8.08</v>
      </c>
      <c r="G39">
        <v>1.25</v>
      </c>
      <c r="H39">
        <v>6.83</v>
      </c>
      <c r="I39">
        <v>6.5</v>
      </c>
      <c r="J39">
        <v>68.099999999999994</v>
      </c>
      <c r="K39">
        <v>147</v>
      </c>
      <c r="L39">
        <v>0</v>
      </c>
      <c r="M3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0" spans="1:13" x14ac:dyDescent="0.3">
      <c r="A40" t="s">
        <v>64</v>
      </c>
      <c r="B40">
        <v>19</v>
      </c>
      <c r="C40" t="s">
        <v>16</v>
      </c>
      <c r="D40" t="s">
        <v>17</v>
      </c>
      <c r="E40" t="s">
        <v>20</v>
      </c>
      <c r="F40">
        <v>7.88</v>
      </c>
      <c r="G40">
        <v>0.39</v>
      </c>
      <c r="H40">
        <v>7.49</v>
      </c>
      <c r="I40">
        <v>9</v>
      </c>
      <c r="J40">
        <v>49.8</v>
      </c>
      <c r="K40">
        <v>153</v>
      </c>
      <c r="L40">
        <v>7.6</v>
      </c>
      <c r="M4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1" spans="1:13" x14ac:dyDescent="0.3">
      <c r="A41" t="s">
        <v>65</v>
      </c>
      <c r="B41">
        <v>31</v>
      </c>
      <c r="C41" t="s">
        <v>24</v>
      </c>
      <c r="D41" t="s">
        <v>17</v>
      </c>
      <c r="E41" t="s">
        <v>18</v>
      </c>
      <c r="F41">
        <v>8.81</v>
      </c>
      <c r="G41">
        <v>3.92</v>
      </c>
      <c r="H41">
        <v>4.8899999999999997</v>
      </c>
      <c r="I41">
        <v>10</v>
      </c>
      <c r="J41">
        <v>51.6</v>
      </c>
      <c r="K41">
        <v>172</v>
      </c>
      <c r="L41">
        <v>5.7</v>
      </c>
      <c r="M4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2" spans="1:13" x14ac:dyDescent="0.3">
      <c r="A42" t="s">
        <v>66</v>
      </c>
      <c r="B42">
        <v>35</v>
      </c>
      <c r="C42" t="s">
        <v>16</v>
      </c>
      <c r="D42" t="s">
        <v>17</v>
      </c>
      <c r="E42" t="s">
        <v>20</v>
      </c>
      <c r="F42">
        <v>5.65</v>
      </c>
      <c r="G42">
        <v>0.36</v>
      </c>
      <c r="H42">
        <v>5.29</v>
      </c>
      <c r="I42">
        <v>7.2</v>
      </c>
      <c r="J42">
        <v>67.400000000000006</v>
      </c>
      <c r="K42">
        <v>169</v>
      </c>
      <c r="L42">
        <v>19.399999999999999</v>
      </c>
      <c r="M4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3" spans="1:13" x14ac:dyDescent="0.3">
      <c r="A43" t="s">
        <v>67</v>
      </c>
      <c r="B43">
        <v>31</v>
      </c>
      <c r="C43" t="s">
        <v>16</v>
      </c>
      <c r="D43" t="s">
        <v>17</v>
      </c>
      <c r="E43" t="s">
        <v>20</v>
      </c>
      <c r="F43">
        <v>9.31</v>
      </c>
      <c r="G43">
        <v>0.65</v>
      </c>
      <c r="H43">
        <v>8.66</v>
      </c>
      <c r="I43">
        <v>8.4</v>
      </c>
      <c r="J43">
        <v>51.7</v>
      </c>
      <c r="K43">
        <v>74</v>
      </c>
      <c r="L43">
        <v>1.1000000000000001</v>
      </c>
      <c r="M4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4" spans="1:13" x14ac:dyDescent="0.3">
      <c r="A44" t="s">
        <v>68</v>
      </c>
      <c r="B44">
        <v>29</v>
      </c>
      <c r="C44" t="s">
        <v>24</v>
      </c>
      <c r="D44" t="s">
        <v>17</v>
      </c>
      <c r="E44" t="s">
        <v>18</v>
      </c>
      <c r="F44">
        <v>7.72</v>
      </c>
      <c r="G44">
        <v>5.52</v>
      </c>
      <c r="H44">
        <v>2.2000000000000002</v>
      </c>
      <c r="I44">
        <v>3.8</v>
      </c>
      <c r="J44">
        <v>77.7</v>
      </c>
      <c r="K44">
        <v>106</v>
      </c>
      <c r="L44">
        <v>17.5</v>
      </c>
      <c r="M4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5" spans="1:13" x14ac:dyDescent="0.3">
      <c r="A45" t="s">
        <v>69</v>
      </c>
      <c r="B45">
        <v>27</v>
      </c>
      <c r="C45" t="s">
        <v>16</v>
      </c>
      <c r="D45" t="s">
        <v>17</v>
      </c>
      <c r="E45" t="s">
        <v>18</v>
      </c>
      <c r="F45">
        <v>11.81</v>
      </c>
      <c r="G45">
        <v>4.6399999999999997</v>
      </c>
      <c r="H45">
        <v>7.17</v>
      </c>
      <c r="I45">
        <v>10</v>
      </c>
      <c r="J45">
        <v>37.6</v>
      </c>
      <c r="K45">
        <v>92</v>
      </c>
      <c r="L45">
        <v>3.5</v>
      </c>
      <c r="M4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6" spans="1:13" x14ac:dyDescent="0.3">
      <c r="A46" t="s">
        <v>70</v>
      </c>
      <c r="B46">
        <v>18</v>
      </c>
      <c r="C46" t="s">
        <v>16</v>
      </c>
      <c r="D46" t="s">
        <v>17</v>
      </c>
      <c r="E46" t="s">
        <v>20</v>
      </c>
      <c r="F46">
        <v>6.71</v>
      </c>
      <c r="G46">
        <v>0.74</v>
      </c>
      <c r="H46">
        <v>5.97</v>
      </c>
      <c r="I46">
        <v>7.4</v>
      </c>
      <c r="J46">
        <v>58.8</v>
      </c>
      <c r="K46">
        <v>119</v>
      </c>
      <c r="L46">
        <v>8</v>
      </c>
      <c r="M4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7" spans="1:13" x14ac:dyDescent="0.3">
      <c r="A47" t="s">
        <v>71</v>
      </c>
      <c r="B47">
        <v>24</v>
      </c>
      <c r="C47" t="s">
        <v>24</v>
      </c>
      <c r="D47" t="s">
        <v>37</v>
      </c>
      <c r="E47" t="s">
        <v>18</v>
      </c>
      <c r="F47">
        <v>6.1</v>
      </c>
      <c r="G47">
        <v>1.57</v>
      </c>
      <c r="H47">
        <v>4.53</v>
      </c>
      <c r="I47">
        <v>4.0999999999999996</v>
      </c>
      <c r="J47">
        <v>79.599999999999994</v>
      </c>
      <c r="K47">
        <v>188</v>
      </c>
      <c r="L47">
        <v>8</v>
      </c>
      <c r="M4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8" spans="1:13" x14ac:dyDescent="0.3">
      <c r="A48" t="s">
        <v>72</v>
      </c>
      <c r="B48">
        <v>26</v>
      </c>
      <c r="C48" t="s">
        <v>16</v>
      </c>
      <c r="D48" t="s">
        <v>17</v>
      </c>
      <c r="E48" t="s">
        <v>20</v>
      </c>
      <c r="F48">
        <v>7.46</v>
      </c>
      <c r="G48">
        <v>1.45</v>
      </c>
      <c r="H48">
        <v>6.01</v>
      </c>
      <c r="I48">
        <v>8.9</v>
      </c>
      <c r="J48">
        <v>49.2</v>
      </c>
      <c r="K48">
        <v>156</v>
      </c>
      <c r="L48">
        <v>8.4</v>
      </c>
      <c r="M4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49" spans="1:13" x14ac:dyDescent="0.3">
      <c r="A49" t="s">
        <v>73</v>
      </c>
      <c r="B49">
        <v>38</v>
      </c>
      <c r="C49" t="s">
        <v>24</v>
      </c>
      <c r="D49" t="s">
        <v>26</v>
      </c>
      <c r="E49" t="s">
        <v>18</v>
      </c>
      <c r="F49">
        <v>14.22</v>
      </c>
      <c r="G49">
        <v>7.52</v>
      </c>
      <c r="H49">
        <v>6.7</v>
      </c>
      <c r="I49">
        <v>10</v>
      </c>
      <c r="J49">
        <v>34.799999999999997</v>
      </c>
      <c r="K49">
        <v>222</v>
      </c>
      <c r="L49">
        <v>13.9</v>
      </c>
      <c r="M4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0" spans="1:13" x14ac:dyDescent="0.3">
      <c r="A50" t="s">
        <v>74</v>
      </c>
      <c r="B50">
        <v>32</v>
      </c>
      <c r="C50" t="s">
        <v>24</v>
      </c>
      <c r="D50" t="s">
        <v>26</v>
      </c>
      <c r="E50" t="s">
        <v>18</v>
      </c>
      <c r="F50">
        <v>9.93</v>
      </c>
      <c r="G50">
        <v>3.77</v>
      </c>
      <c r="H50">
        <v>6.16</v>
      </c>
      <c r="I50">
        <v>9.3000000000000007</v>
      </c>
      <c r="J50">
        <v>52.8</v>
      </c>
      <c r="K50">
        <v>254</v>
      </c>
      <c r="L50">
        <v>0.5</v>
      </c>
      <c r="M5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1" spans="1:13" x14ac:dyDescent="0.3">
      <c r="A51" t="s">
        <v>75</v>
      </c>
      <c r="B51">
        <v>16</v>
      </c>
      <c r="C51" t="s">
        <v>24</v>
      </c>
      <c r="D51" t="s">
        <v>17</v>
      </c>
      <c r="E51" t="s">
        <v>20</v>
      </c>
      <c r="F51">
        <v>13.29</v>
      </c>
      <c r="G51">
        <v>0.99</v>
      </c>
      <c r="H51">
        <v>12.3</v>
      </c>
      <c r="I51">
        <v>10</v>
      </c>
      <c r="J51">
        <v>27.1</v>
      </c>
      <c r="K51">
        <v>77</v>
      </c>
      <c r="L51">
        <v>9.1999999999999993</v>
      </c>
      <c r="M5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2" spans="1:13" x14ac:dyDescent="0.3">
      <c r="A52" t="s">
        <v>76</v>
      </c>
      <c r="B52">
        <v>32</v>
      </c>
      <c r="C52" t="s">
        <v>16</v>
      </c>
      <c r="D52" t="s">
        <v>17</v>
      </c>
      <c r="E52" t="s">
        <v>22</v>
      </c>
      <c r="F52">
        <v>6.77</v>
      </c>
      <c r="G52">
        <v>0.36</v>
      </c>
      <c r="H52">
        <v>6.41</v>
      </c>
      <c r="I52">
        <v>6.5</v>
      </c>
      <c r="J52">
        <v>56.8</v>
      </c>
      <c r="K52">
        <v>0</v>
      </c>
      <c r="L52">
        <v>8.1</v>
      </c>
      <c r="M5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3" spans="1:13" x14ac:dyDescent="0.3">
      <c r="A53" t="s">
        <v>77</v>
      </c>
      <c r="B53">
        <v>26</v>
      </c>
      <c r="C53" t="s">
        <v>24</v>
      </c>
      <c r="D53" t="s">
        <v>26</v>
      </c>
      <c r="E53" t="s">
        <v>18</v>
      </c>
      <c r="F53">
        <v>10.25</v>
      </c>
      <c r="G53">
        <v>5.59</v>
      </c>
      <c r="H53">
        <v>4.66</v>
      </c>
      <c r="I53">
        <v>10</v>
      </c>
      <c r="J53">
        <v>38.5</v>
      </c>
      <c r="K53">
        <v>181</v>
      </c>
      <c r="L53">
        <v>5.4</v>
      </c>
      <c r="M5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4" spans="1:13" x14ac:dyDescent="0.3">
      <c r="A54" t="s">
        <v>78</v>
      </c>
      <c r="B54">
        <v>24</v>
      </c>
      <c r="C54" t="s">
        <v>16</v>
      </c>
      <c r="D54" t="s">
        <v>17</v>
      </c>
      <c r="E54" t="s">
        <v>22</v>
      </c>
      <c r="F54">
        <v>8.75</v>
      </c>
      <c r="G54">
        <v>1.6</v>
      </c>
      <c r="H54">
        <v>7.15</v>
      </c>
      <c r="I54">
        <v>8.8000000000000007</v>
      </c>
      <c r="J54">
        <v>44.9</v>
      </c>
      <c r="K54">
        <v>65</v>
      </c>
      <c r="L54">
        <v>21.6</v>
      </c>
      <c r="M5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5" spans="1:13" x14ac:dyDescent="0.3">
      <c r="A55" t="s">
        <v>79</v>
      </c>
      <c r="B55">
        <v>34</v>
      </c>
      <c r="C55" t="s">
        <v>16</v>
      </c>
      <c r="D55" t="s">
        <v>17</v>
      </c>
      <c r="E55" t="s">
        <v>22</v>
      </c>
      <c r="F55">
        <v>10.130000000000001</v>
      </c>
      <c r="G55">
        <v>0.51</v>
      </c>
      <c r="H55">
        <v>9.6199999999999992</v>
      </c>
      <c r="I55">
        <v>9.8000000000000007</v>
      </c>
      <c r="J55">
        <v>44.8</v>
      </c>
      <c r="K55">
        <v>43</v>
      </c>
      <c r="L55">
        <v>5.4</v>
      </c>
      <c r="M5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6" spans="1:13" x14ac:dyDescent="0.3">
      <c r="A56" t="s">
        <v>80</v>
      </c>
      <c r="B56">
        <v>38</v>
      </c>
      <c r="C56" t="s">
        <v>16</v>
      </c>
      <c r="D56" t="s">
        <v>17</v>
      </c>
      <c r="E56" t="s">
        <v>18</v>
      </c>
      <c r="F56">
        <v>9.4700000000000006</v>
      </c>
      <c r="G56">
        <v>2.4</v>
      </c>
      <c r="H56">
        <v>7.07</v>
      </c>
      <c r="I56">
        <v>7.2</v>
      </c>
      <c r="J56">
        <v>60</v>
      </c>
      <c r="K56">
        <v>77</v>
      </c>
      <c r="L56">
        <v>10.199999999999999</v>
      </c>
      <c r="M5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7" spans="1:13" x14ac:dyDescent="0.3">
      <c r="A57" t="s">
        <v>81</v>
      </c>
      <c r="B57">
        <v>37</v>
      </c>
      <c r="C57" t="s">
        <v>28</v>
      </c>
      <c r="D57" t="s">
        <v>17</v>
      </c>
      <c r="E57" t="s">
        <v>22</v>
      </c>
      <c r="F57">
        <v>7.57</v>
      </c>
      <c r="G57">
        <v>0.42</v>
      </c>
      <c r="H57">
        <v>7.15</v>
      </c>
      <c r="I57">
        <v>9.4</v>
      </c>
      <c r="J57">
        <v>51.7</v>
      </c>
      <c r="K57">
        <v>85</v>
      </c>
      <c r="L57">
        <v>11.5</v>
      </c>
      <c r="M5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8" spans="1:13" x14ac:dyDescent="0.3">
      <c r="A58" t="s">
        <v>82</v>
      </c>
      <c r="B58">
        <v>23</v>
      </c>
      <c r="C58" t="s">
        <v>16</v>
      </c>
      <c r="D58" t="s">
        <v>26</v>
      </c>
      <c r="E58" t="s">
        <v>20</v>
      </c>
      <c r="F58">
        <v>6.76</v>
      </c>
      <c r="G58">
        <v>0.55000000000000004</v>
      </c>
      <c r="H58">
        <v>6.21</v>
      </c>
      <c r="I58">
        <v>5.6</v>
      </c>
      <c r="J58">
        <v>74</v>
      </c>
      <c r="K58">
        <v>157</v>
      </c>
      <c r="L58">
        <v>1</v>
      </c>
      <c r="M5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59" spans="1:13" x14ac:dyDescent="0.3">
      <c r="A59" t="s">
        <v>83</v>
      </c>
      <c r="B59">
        <v>27</v>
      </c>
      <c r="C59" t="s">
        <v>16</v>
      </c>
      <c r="D59" t="s">
        <v>26</v>
      </c>
      <c r="E59" t="s">
        <v>18</v>
      </c>
      <c r="F59">
        <v>7.82</v>
      </c>
      <c r="G59">
        <v>2.5</v>
      </c>
      <c r="H59">
        <v>5.32</v>
      </c>
      <c r="I59">
        <v>6.9</v>
      </c>
      <c r="J59">
        <v>81</v>
      </c>
      <c r="K59">
        <v>0</v>
      </c>
      <c r="L59">
        <v>18.8</v>
      </c>
      <c r="M5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0" spans="1:13" x14ac:dyDescent="0.3">
      <c r="A60" t="s">
        <v>84</v>
      </c>
      <c r="B60">
        <v>32</v>
      </c>
      <c r="C60" t="s">
        <v>24</v>
      </c>
      <c r="D60" t="s">
        <v>17</v>
      </c>
      <c r="E60" t="s">
        <v>22</v>
      </c>
      <c r="F60">
        <v>11.49</v>
      </c>
      <c r="G60">
        <v>1.1000000000000001</v>
      </c>
      <c r="H60">
        <v>10.39</v>
      </c>
      <c r="I60">
        <v>7.2</v>
      </c>
      <c r="J60">
        <v>67.8</v>
      </c>
      <c r="K60">
        <v>15</v>
      </c>
      <c r="L60">
        <v>0</v>
      </c>
      <c r="M6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1" spans="1:13" x14ac:dyDescent="0.3">
      <c r="A61" t="s">
        <v>85</v>
      </c>
      <c r="B61">
        <v>37</v>
      </c>
      <c r="C61" t="s">
        <v>16</v>
      </c>
      <c r="D61" t="s">
        <v>17</v>
      </c>
      <c r="E61" t="s">
        <v>22</v>
      </c>
      <c r="F61">
        <v>8.89</v>
      </c>
      <c r="G61">
        <v>1.91</v>
      </c>
      <c r="H61">
        <v>6.98</v>
      </c>
      <c r="I61">
        <v>9.6999999999999993</v>
      </c>
      <c r="J61">
        <v>40.299999999999997</v>
      </c>
      <c r="K61">
        <v>132</v>
      </c>
      <c r="L61">
        <v>6.1</v>
      </c>
      <c r="M6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2" spans="1:13" x14ac:dyDescent="0.3">
      <c r="A62" t="s">
        <v>86</v>
      </c>
      <c r="B62">
        <v>26</v>
      </c>
      <c r="C62" t="s">
        <v>16</v>
      </c>
      <c r="D62" t="s">
        <v>17</v>
      </c>
      <c r="E62" t="s">
        <v>20</v>
      </c>
      <c r="F62">
        <v>10.09</v>
      </c>
      <c r="G62">
        <v>0.68</v>
      </c>
      <c r="H62">
        <v>9.41</v>
      </c>
      <c r="I62">
        <v>10</v>
      </c>
      <c r="J62">
        <v>46.3</v>
      </c>
      <c r="K62">
        <v>139</v>
      </c>
      <c r="L62">
        <v>5.6</v>
      </c>
      <c r="M6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3" spans="1:13" x14ac:dyDescent="0.3">
      <c r="A63" t="s">
        <v>87</v>
      </c>
      <c r="B63">
        <v>28</v>
      </c>
      <c r="C63" t="s">
        <v>16</v>
      </c>
      <c r="D63" t="s">
        <v>17</v>
      </c>
      <c r="E63" t="s">
        <v>18</v>
      </c>
      <c r="F63">
        <v>9.02</v>
      </c>
      <c r="G63">
        <v>2.67</v>
      </c>
      <c r="H63">
        <v>6.35</v>
      </c>
      <c r="I63">
        <v>9.4</v>
      </c>
      <c r="J63">
        <v>45.8</v>
      </c>
      <c r="K63">
        <v>148</v>
      </c>
      <c r="L63">
        <v>7.9</v>
      </c>
      <c r="M6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4" spans="1:13" x14ac:dyDescent="0.3">
      <c r="A64" t="s">
        <v>88</v>
      </c>
      <c r="B64">
        <v>21</v>
      </c>
      <c r="C64" t="s">
        <v>16</v>
      </c>
      <c r="D64" t="s">
        <v>26</v>
      </c>
      <c r="E64" t="s">
        <v>20</v>
      </c>
      <c r="F64">
        <v>11.16</v>
      </c>
      <c r="G64">
        <v>1.46</v>
      </c>
      <c r="H64">
        <v>9.6999999999999993</v>
      </c>
      <c r="I64">
        <v>10</v>
      </c>
      <c r="J64">
        <v>42.2</v>
      </c>
      <c r="K64">
        <v>31</v>
      </c>
      <c r="L64">
        <v>2.8</v>
      </c>
      <c r="M6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5" spans="1:13" x14ac:dyDescent="0.3">
      <c r="A65" t="s">
        <v>89</v>
      </c>
      <c r="B65">
        <v>20</v>
      </c>
      <c r="C65" t="s">
        <v>16</v>
      </c>
      <c r="D65" t="s">
        <v>29</v>
      </c>
      <c r="E65" t="s">
        <v>22</v>
      </c>
      <c r="F65">
        <v>7.3</v>
      </c>
      <c r="G65">
        <v>1.65</v>
      </c>
      <c r="H65">
        <v>5.65</v>
      </c>
      <c r="I65">
        <v>8.4</v>
      </c>
      <c r="J65">
        <v>51.1</v>
      </c>
      <c r="K65">
        <v>41</v>
      </c>
      <c r="L65">
        <v>7.7</v>
      </c>
      <c r="M6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6" spans="1:13" x14ac:dyDescent="0.3">
      <c r="A66" t="s">
        <v>90</v>
      </c>
      <c r="B66">
        <v>36</v>
      </c>
      <c r="C66" t="s">
        <v>16</v>
      </c>
      <c r="D66" t="s">
        <v>17</v>
      </c>
      <c r="E66" t="s">
        <v>18</v>
      </c>
      <c r="F66">
        <v>6.95</v>
      </c>
      <c r="G66">
        <v>3.9</v>
      </c>
      <c r="H66">
        <v>3.05</v>
      </c>
      <c r="I66">
        <v>10</v>
      </c>
      <c r="J66">
        <v>48.3</v>
      </c>
      <c r="K66">
        <v>84</v>
      </c>
      <c r="L66">
        <v>7.9</v>
      </c>
      <c r="M6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7" spans="1:13" x14ac:dyDescent="0.3">
      <c r="A67" t="s">
        <v>91</v>
      </c>
      <c r="B67">
        <v>40</v>
      </c>
      <c r="C67" t="s">
        <v>24</v>
      </c>
      <c r="D67" t="s">
        <v>17</v>
      </c>
      <c r="E67" t="s">
        <v>18</v>
      </c>
      <c r="F67">
        <v>5.5</v>
      </c>
      <c r="G67">
        <v>2.5</v>
      </c>
      <c r="H67">
        <v>3</v>
      </c>
      <c r="I67">
        <v>2.6</v>
      </c>
      <c r="J67">
        <v>86.3</v>
      </c>
      <c r="K67">
        <v>147</v>
      </c>
      <c r="L67">
        <v>2.2000000000000002</v>
      </c>
      <c r="M6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8" spans="1:13" x14ac:dyDescent="0.3">
      <c r="A68" t="s">
        <v>92</v>
      </c>
      <c r="B68">
        <v>29</v>
      </c>
      <c r="C68" t="s">
        <v>16</v>
      </c>
      <c r="D68" t="s">
        <v>17</v>
      </c>
      <c r="E68" t="s">
        <v>18</v>
      </c>
      <c r="F68">
        <v>11.02</v>
      </c>
      <c r="G68">
        <v>1.59</v>
      </c>
      <c r="H68">
        <v>9.43</v>
      </c>
      <c r="I68">
        <v>10</v>
      </c>
      <c r="J68">
        <v>38</v>
      </c>
      <c r="K68">
        <v>195</v>
      </c>
      <c r="L68">
        <v>0</v>
      </c>
      <c r="M6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69" spans="1:13" x14ac:dyDescent="0.3">
      <c r="A69" t="s">
        <v>93</v>
      </c>
      <c r="B69">
        <v>38</v>
      </c>
      <c r="C69" t="s">
        <v>16</v>
      </c>
      <c r="D69" t="s">
        <v>17</v>
      </c>
      <c r="E69" t="s">
        <v>22</v>
      </c>
      <c r="F69">
        <v>8.4700000000000006</v>
      </c>
      <c r="G69">
        <v>0.94</v>
      </c>
      <c r="H69">
        <v>7.53</v>
      </c>
      <c r="I69">
        <v>7.4</v>
      </c>
      <c r="J69">
        <v>50.3</v>
      </c>
      <c r="K69">
        <v>0</v>
      </c>
      <c r="L69">
        <v>10</v>
      </c>
      <c r="M6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0" spans="1:13" x14ac:dyDescent="0.3">
      <c r="A70" t="s">
        <v>94</v>
      </c>
      <c r="B70">
        <v>32</v>
      </c>
      <c r="C70" t="s">
        <v>24</v>
      </c>
      <c r="D70" t="s">
        <v>17</v>
      </c>
      <c r="E70" t="s">
        <v>22</v>
      </c>
      <c r="F70">
        <v>6.92</v>
      </c>
      <c r="G70">
        <v>1.07</v>
      </c>
      <c r="H70">
        <v>5.85</v>
      </c>
      <c r="I70">
        <v>5.0999999999999996</v>
      </c>
      <c r="J70">
        <v>76.5</v>
      </c>
      <c r="K70">
        <v>102</v>
      </c>
      <c r="L70">
        <v>11.5</v>
      </c>
      <c r="M7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1" spans="1:13" x14ac:dyDescent="0.3">
      <c r="A71" t="s">
        <v>95</v>
      </c>
      <c r="B71">
        <v>24</v>
      </c>
      <c r="C71" t="s">
        <v>16</v>
      </c>
      <c r="D71" t="s">
        <v>26</v>
      </c>
      <c r="E71" t="s">
        <v>20</v>
      </c>
      <c r="F71">
        <v>8.23</v>
      </c>
      <c r="G71">
        <v>0.45</v>
      </c>
      <c r="H71">
        <v>7.78</v>
      </c>
      <c r="I71">
        <v>7</v>
      </c>
      <c r="J71">
        <v>65.099999999999994</v>
      </c>
      <c r="K71">
        <v>12</v>
      </c>
      <c r="L71">
        <v>17.2</v>
      </c>
      <c r="M7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2" spans="1:13" x14ac:dyDescent="0.3">
      <c r="A72" t="s">
        <v>96</v>
      </c>
      <c r="B72">
        <v>32</v>
      </c>
      <c r="C72" t="s">
        <v>24</v>
      </c>
      <c r="D72" t="s">
        <v>37</v>
      </c>
      <c r="E72" t="s">
        <v>22</v>
      </c>
      <c r="F72">
        <v>7.88</v>
      </c>
      <c r="G72">
        <v>0.39</v>
      </c>
      <c r="H72">
        <v>7.49</v>
      </c>
      <c r="I72">
        <v>7.7</v>
      </c>
      <c r="J72">
        <v>59</v>
      </c>
      <c r="K72">
        <v>0</v>
      </c>
      <c r="L72">
        <v>4.5</v>
      </c>
      <c r="M7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3" spans="1:13" x14ac:dyDescent="0.3">
      <c r="A73" t="s">
        <v>97</v>
      </c>
      <c r="B73">
        <v>42</v>
      </c>
      <c r="C73" t="s">
        <v>16</v>
      </c>
      <c r="D73" t="s">
        <v>26</v>
      </c>
      <c r="E73" t="s">
        <v>18</v>
      </c>
      <c r="F73">
        <v>13.44</v>
      </c>
      <c r="G73">
        <v>6.68</v>
      </c>
      <c r="H73">
        <v>6.76</v>
      </c>
      <c r="I73">
        <v>10</v>
      </c>
      <c r="J73">
        <v>43</v>
      </c>
      <c r="K73">
        <v>151</v>
      </c>
      <c r="L73">
        <v>12.5</v>
      </c>
      <c r="M7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4" spans="1:13" x14ac:dyDescent="0.3">
      <c r="A74" t="s">
        <v>98</v>
      </c>
      <c r="B74">
        <v>29</v>
      </c>
      <c r="C74" t="s">
        <v>16</v>
      </c>
      <c r="D74" t="s">
        <v>37</v>
      </c>
      <c r="E74" t="s">
        <v>22</v>
      </c>
      <c r="F74">
        <v>5.41</v>
      </c>
      <c r="G74">
        <v>0.44</v>
      </c>
      <c r="H74">
        <v>4.97</v>
      </c>
      <c r="I74">
        <v>4.5999999999999996</v>
      </c>
      <c r="J74">
        <v>68.5</v>
      </c>
      <c r="K74">
        <v>163</v>
      </c>
      <c r="L74">
        <v>5.5</v>
      </c>
      <c r="M7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5" spans="1:13" x14ac:dyDescent="0.3">
      <c r="A75" t="s">
        <v>99</v>
      </c>
      <c r="B75">
        <v>42</v>
      </c>
      <c r="C75" t="s">
        <v>16</v>
      </c>
      <c r="D75" t="s">
        <v>17</v>
      </c>
      <c r="E75" t="s">
        <v>20</v>
      </c>
      <c r="F75">
        <v>8.6</v>
      </c>
      <c r="G75">
        <v>1.6</v>
      </c>
      <c r="H75">
        <v>7</v>
      </c>
      <c r="I75">
        <v>9.1999999999999993</v>
      </c>
      <c r="J75">
        <v>56</v>
      </c>
      <c r="K75">
        <v>144</v>
      </c>
      <c r="L75">
        <v>15.5</v>
      </c>
      <c r="M7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6" spans="1:13" x14ac:dyDescent="0.3">
      <c r="A76" t="s">
        <v>100</v>
      </c>
      <c r="B76">
        <v>16</v>
      </c>
      <c r="C76" t="s">
        <v>16</v>
      </c>
      <c r="D76" t="s">
        <v>26</v>
      </c>
      <c r="E76" t="s">
        <v>18</v>
      </c>
      <c r="F76">
        <v>9.1300000000000008</v>
      </c>
      <c r="G76">
        <v>4.07</v>
      </c>
      <c r="H76">
        <v>5.0599999999999996</v>
      </c>
      <c r="I76">
        <v>5.4</v>
      </c>
      <c r="J76">
        <v>74.5</v>
      </c>
      <c r="K76">
        <v>161</v>
      </c>
      <c r="L76">
        <v>12.8</v>
      </c>
      <c r="M7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7" spans="1:13" x14ac:dyDescent="0.3">
      <c r="A77" t="s">
        <v>101</v>
      </c>
      <c r="B77">
        <v>36</v>
      </c>
      <c r="C77" t="s">
        <v>16</v>
      </c>
      <c r="D77" t="s">
        <v>17</v>
      </c>
      <c r="E77" t="s">
        <v>18</v>
      </c>
      <c r="F77">
        <v>9.26</v>
      </c>
      <c r="G77">
        <v>4.57</v>
      </c>
      <c r="H77">
        <v>4.6900000000000004</v>
      </c>
      <c r="I77">
        <v>10</v>
      </c>
      <c r="J77">
        <v>51.1</v>
      </c>
      <c r="K77">
        <v>72</v>
      </c>
      <c r="L77">
        <v>9.9</v>
      </c>
      <c r="M7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8" spans="1:13" x14ac:dyDescent="0.3">
      <c r="A78" t="s">
        <v>102</v>
      </c>
      <c r="B78">
        <v>30</v>
      </c>
      <c r="C78" t="s">
        <v>16</v>
      </c>
      <c r="D78" t="s">
        <v>29</v>
      </c>
      <c r="E78" t="s">
        <v>18</v>
      </c>
      <c r="F78">
        <v>6.61</v>
      </c>
      <c r="G78">
        <v>1.82</v>
      </c>
      <c r="H78">
        <v>4.79</v>
      </c>
      <c r="I78">
        <v>6.8</v>
      </c>
      <c r="J78">
        <v>60.5</v>
      </c>
      <c r="K78">
        <v>88</v>
      </c>
      <c r="L78">
        <v>6</v>
      </c>
      <c r="M7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79" spans="1:13" x14ac:dyDescent="0.3">
      <c r="A79" t="s">
        <v>103</v>
      </c>
      <c r="B79">
        <v>27</v>
      </c>
      <c r="C79" t="s">
        <v>16</v>
      </c>
      <c r="D79" t="s">
        <v>17</v>
      </c>
      <c r="E79" t="s">
        <v>20</v>
      </c>
      <c r="F79">
        <v>3.93</v>
      </c>
      <c r="G79">
        <v>1.02</v>
      </c>
      <c r="H79">
        <v>2.91</v>
      </c>
      <c r="I79">
        <v>2.2000000000000002</v>
      </c>
      <c r="J79">
        <v>88</v>
      </c>
      <c r="K79">
        <v>286</v>
      </c>
      <c r="L79">
        <v>16.600000000000001</v>
      </c>
      <c r="M7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0" spans="1:13" x14ac:dyDescent="0.3">
      <c r="A80" t="s">
        <v>104</v>
      </c>
      <c r="B80">
        <v>30</v>
      </c>
      <c r="C80" t="s">
        <v>16</v>
      </c>
      <c r="D80" t="s">
        <v>29</v>
      </c>
      <c r="E80" t="s">
        <v>22</v>
      </c>
      <c r="F80">
        <v>11.75</v>
      </c>
      <c r="G80">
        <v>0.88</v>
      </c>
      <c r="H80">
        <v>10.87</v>
      </c>
      <c r="I80">
        <v>10</v>
      </c>
      <c r="J80">
        <v>41.5</v>
      </c>
      <c r="K80">
        <v>70</v>
      </c>
      <c r="L80">
        <v>10.3</v>
      </c>
      <c r="M8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1" spans="1:13" x14ac:dyDescent="0.3">
      <c r="A81" t="s">
        <v>105</v>
      </c>
      <c r="B81">
        <v>16</v>
      </c>
      <c r="C81" t="s">
        <v>16</v>
      </c>
      <c r="D81" t="s">
        <v>17</v>
      </c>
      <c r="E81" t="s">
        <v>22</v>
      </c>
      <c r="F81">
        <v>7.58</v>
      </c>
      <c r="G81">
        <v>0.38</v>
      </c>
      <c r="H81">
        <v>7.2</v>
      </c>
      <c r="I81">
        <v>4.5</v>
      </c>
      <c r="J81">
        <v>67.7</v>
      </c>
      <c r="K81">
        <v>157</v>
      </c>
      <c r="L81">
        <v>3.4</v>
      </c>
      <c r="M8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2" spans="1:13" x14ac:dyDescent="0.3">
      <c r="A82" t="s">
        <v>106</v>
      </c>
      <c r="B82">
        <v>28</v>
      </c>
      <c r="C82" t="s">
        <v>16</v>
      </c>
      <c r="D82" t="s">
        <v>17</v>
      </c>
      <c r="E82" t="s">
        <v>20</v>
      </c>
      <c r="F82">
        <v>9.14</v>
      </c>
      <c r="G82">
        <v>1.99</v>
      </c>
      <c r="H82">
        <v>7.15</v>
      </c>
      <c r="I82">
        <v>9.4</v>
      </c>
      <c r="J82">
        <v>45.5</v>
      </c>
      <c r="K82">
        <v>103</v>
      </c>
      <c r="L82">
        <v>0.9</v>
      </c>
      <c r="M8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3" spans="1:13" x14ac:dyDescent="0.3">
      <c r="A83" t="s">
        <v>107</v>
      </c>
      <c r="B83">
        <v>32</v>
      </c>
      <c r="C83" t="s">
        <v>16</v>
      </c>
      <c r="D83" t="s">
        <v>29</v>
      </c>
      <c r="E83" t="s">
        <v>20</v>
      </c>
      <c r="F83">
        <v>5.44</v>
      </c>
      <c r="G83">
        <v>0.45</v>
      </c>
      <c r="H83">
        <v>4.99</v>
      </c>
      <c r="I83">
        <v>3</v>
      </c>
      <c r="J83">
        <v>88.3</v>
      </c>
      <c r="K83">
        <v>0</v>
      </c>
      <c r="L83">
        <v>7.1</v>
      </c>
      <c r="M8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4" spans="1:13" x14ac:dyDescent="0.3">
      <c r="A84" t="s">
        <v>108</v>
      </c>
      <c r="B84">
        <v>41</v>
      </c>
      <c r="C84" t="s">
        <v>16</v>
      </c>
      <c r="D84" t="s">
        <v>26</v>
      </c>
      <c r="E84" t="s">
        <v>18</v>
      </c>
      <c r="F84">
        <v>9.86</v>
      </c>
      <c r="G84">
        <v>6.39</v>
      </c>
      <c r="H84">
        <v>3.47</v>
      </c>
      <c r="I84">
        <v>8.1999999999999993</v>
      </c>
      <c r="J84">
        <v>66.3</v>
      </c>
      <c r="K84">
        <v>0</v>
      </c>
      <c r="L84">
        <v>15.8</v>
      </c>
      <c r="M8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5" spans="1:13" x14ac:dyDescent="0.3">
      <c r="A85" t="s">
        <v>109</v>
      </c>
      <c r="B85">
        <v>25</v>
      </c>
      <c r="C85" t="s">
        <v>24</v>
      </c>
      <c r="D85" t="s">
        <v>17</v>
      </c>
      <c r="E85" t="s">
        <v>20</v>
      </c>
      <c r="F85">
        <v>8.0500000000000007</v>
      </c>
      <c r="G85">
        <v>1.1000000000000001</v>
      </c>
      <c r="H85">
        <v>6.95</v>
      </c>
      <c r="I85">
        <v>7.1</v>
      </c>
      <c r="J85">
        <v>55.9</v>
      </c>
      <c r="K85">
        <v>67</v>
      </c>
      <c r="L85">
        <v>11.4</v>
      </c>
      <c r="M8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6" spans="1:13" x14ac:dyDescent="0.3">
      <c r="A86" t="s">
        <v>110</v>
      </c>
      <c r="B86">
        <v>23</v>
      </c>
      <c r="C86" t="s">
        <v>16</v>
      </c>
      <c r="D86" t="s">
        <v>26</v>
      </c>
      <c r="E86" t="s">
        <v>18</v>
      </c>
      <c r="F86">
        <v>7.04</v>
      </c>
      <c r="G86">
        <v>3.5</v>
      </c>
      <c r="H86">
        <v>3.54</v>
      </c>
      <c r="I86">
        <v>4.5999999999999996</v>
      </c>
      <c r="J86">
        <v>82.3</v>
      </c>
      <c r="K86">
        <v>186</v>
      </c>
      <c r="L86">
        <v>2.8</v>
      </c>
      <c r="M8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7" spans="1:13" x14ac:dyDescent="0.3">
      <c r="A87" t="s">
        <v>111</v>
      </c>
      <c r="B87">
        <v>25</v>
      </c>
      <c r="C87" t="s">
        <v>24</v>
      </c>
      <c r="D87" t="s">
        <v>31</v>
      </c>
      <c r="E87" t="s">
        <v>18</v>
      </c>
      <c r="F87">
        <v>6.32</v>
      </c>
      <c r="G87">
        <v>1.72</v>
      </c>
      <c r="H87">
        <v>4.5999999999999996</v>
      </c>
      <c r="I87">
        <v>6.3</v>
      </c>
      <c r="J87">
        <v>64.400000000000006</v>
      </c>
      <c r="K87">
        <v>173</v>
      </c>
      <c r="L87">
        <v>3.6</v>
      </c>
      <c r="M8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8" spans="1:13" x14ac:dyDescent="0.3">
      <c r="A88" t="s">
        <v>112</v>
      </c>
      <c r="B88">
        <v>37</v>
      </c>
      <c r="C88" t="s">
        <v>24</v>
      </c>
      <c r="D88" t="s">
        <v>37</v>
      </c>
      <c r="E88" t="s">
        <v>18</v>
      </c>
      <c r="F88">
        <v>10.3</v>
      </c>
      <c r="G88">
        <v>2.73</v>
      </c>
      <c r="H88">
        <v>7.57</v>
      </c>
      <c r="I88">
        <v>9.1</v>
      </c>
      <c r="J88">
        <v>50.4</v>
      </c>
      <c r="K88">
        <v>164</v>
      </c>
      <c r="L88">
        <v>13.5</v>
      </c>
      <c r="M8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89" spans="1:13" x14ac:dyDescent="0.3">
      <c r="A89" t="s">
        <v>113</v>
      </c>
      <c r="B89">
        <v>32</v>
      </c>
      <c r="C89" t="s">
        <v>16</v>
      </c>
      <c r="D89" t="s">
        <v>26</v>
      </c>
      <c r="E89" t="s">
        <v>18</v>
      </c>
      <c r="F89">
        <v>9.24</v>
      </c>
      <c r="G89">
        <v>2.5299999999999998</v>
      </c>
      <c r="H89">
        <v>6.71</v>
      </c>
      <c r="I89">
        <v>9.3000000000000007</v>
      </c>
      <c r="J89">
        <v>46.5</v>
      </c>
      <c r="K89">
        <v>34</v>
      </c>
      <c r="L89">
        <v>4.5</v>
      </c>
      <c r="M8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0" spans="1:13" x14ac:dyDescent="0.3">
      <c r="A90" t="s">
        <v>114</v>
      </c>
      <c r="B90">
        <v>25</v>
      </c>
      <c r="C90" t="s">
        <v>24</v>
      </c>
      <c r="D90" t="s">
        <v>17</v>
      </c>
      <c r="E90" t="s">
        <v>22</v>
      </c>
      <c r="F90">
        <v>8.2899999999999991</v>
      </c>
      <c r="G90">
        <v>1</v>
      </c>
      <c r="H90">
        <v>7.29</v>
      </c>
      <c r="I90">
        <v>6.4</v>
      </c>
      <c r="J90">
        <v>58.3</v>
      </c>
      <c r="K90">
        <v>219</v>
      </c>
      <c r="L90">
        <v>12</v>
      </c>
      <c r="M9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1" spans="1:13" x14ac:dyDescent="0.3">
      <c r="A91" t="s">
        <v>115</v>
      </c>
      <c r="B91">
        <v>34</v>
      </c>
      <c r="C91" t="s">
        <v>24</v>
      </c>
      <c r="D91" t="s">
        <v>37</v>
      </c>
      <c r="E91" t="s">
        <v>20</v>
      </c>
      <c r="F91">
        <v>5.52</v>
      </c>
      <c r="G91">
        <v>0.92</v>
      </c>
      <c r="H91">
        <v>4.5999999999999996</v>
      </c>
      <c r="I91">
        <v>6.2</v>
      </c>
      <c r="J91">
        <v>68.7</v>
      </c>
      <c r="K91">
        <v>59</v>
      </c>
      <c r="L91">
        <v>5.9</v>
      </c>
      <c r="M9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2" spans="1:13" x14ac:dyDescent="0.3">
      <c r="A92" t="s">
        <v>116</v>
      </c>
      <c r="B92">
        <v>30</v>
      </c>
      <c r="C92" t="s">
        <v>16</v>
      </c>
      <c r="D92" t="s">
        <v>26</v>
      </c>
      <c r="E92" t="s">
        <v>18</v>
      </c>
      <c r="F92">
        <v>9.1300000000000008</v>
      </c>
      <c r="G92">
        <v>2.42</v>
      </c>
      <c r="H92">
        <v>6.71</v>
      </c>
      <c r="I92">
        <v>10</v>
      </c>
      <c r="J92">
        <v>43.9</v>
      </c>
      <c r="K92">
        <v>118</v>
      </c>
      <c r="L92">
        <v>16.100000000000001</v>
      </c>
      <c r="M9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3" spans="1:13" x14ac:dyDescent="0.3">
      <c r="A93" t="s">
        <v>117</v>
      </c>
      <c r="B93">
        <v>37</v>
      </c>
      <c r="C93" t="s">
        <v>16</v>
      </c>
      <c r="D93" t="s">
        <v>17</v>
      </c>
      <c r="E93" t="s">
        <v>18</v>
      </c>
      <c r="F93">
        <v>9.81</v>
      </c>
      <c r="G93">
        <v>2.46</v>
      </c>
      <c r="H93">
        <v>7.35</v>
      </c>
      <c r="I93">
        <v>10</v>
      </c>
      <c r="J93">
        <v>40.6</v>
      </c>
      <c r="K93">
        <v>102</v>
      </c>
      <c r="L93">
        <v>4</v>
      </c>
      <c r="M9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4" spans="1:13" x14ac:dyDescent="0.3">
      <c r="A94" t="s">
        <v>118</v>
      </c>
      <c r="B94">
        <v>24</v>
      </c>
      <c r="C94" t="s">
        <v>24</v>
      </c>
      <c r="D94" t="s">
        <v>37</v>
      </c>
      <c r="E94" t="s">
        <v>22</v>
      </c>
      <c r="F94">
        <v>7.75</v>
      </c>
      <c r="G94">
        <v>0.96</v>
      </c>
      <c r="H94">
        <v>6.79</v>
      </c>
      <c r="I94">
        <v>8.3000000000000007</v>
      </c>
      <c r="J94">
        <v>57.1</v>
      </c>
      <c r="K94">
        <v>96</v>
      </c>
      <c r="L94">
        <v>14.6</v>
      </c>
      <c r="M9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5" spans="1:13" x14ac:dyDescent="0.3">
      <c r="A95" t="s">
        <v>119</v>
      </c>
      <c r="B95">
        <v>27</v>
      </c>
      <c r="C95" t="s">
        <v>24</v>
      </c>
      <c r="D95" t="s">
        <v>26</v>
      </c>
      <c r="E95" t="s">
        <v>20</v>
      </c>
      <c r="F95">
        <v>7.05</v>
      </c>
      <c r="G95">
        <v>0.62</v>
      </c>
      <c r="H95">
        <v>6.43</v>
      </c>
      <c r="I95">
        <v>8.8000000000000007</v>
      </c>
      <c r="J95">
        <v>49.9</v>
      </c>
      <c r="K95">
        <v>208</v>
      </c>
      <c r="L95">
        <v>5.7</v>
      </c>
      <c r="M9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6" spans="1:13" x14ac:dyDescent="0.3">
      <c r="A96" t="s">
        <v>121</v>
      </c>
      <c r="B96">
        <v>18</v>
      </c>
      <c r="C96" t="s">
        <v>16</v>
      </c>
      <c r="D96" t="s">
        <v>17</v>
      </c>
      <c r="E96" t="s">
        <v>22</v>
      </c>
      <c r="F96">
        <v>10.17</v>
      </c>
      <c r="G96">
        <v>1.01</v>
      </c>
      <c r="H96">
        <v>9.16</v>
      </c>
      <c r="I96">
        <v>10</v>
      </c>
      <c r="J96">
        <v>51.5</v>
      </c>
      <c r="K96">
        <v>0</v>
      </c>
      <c r="L96">
        <v>0</v>
      </c>
      <c r="M9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7" spans="1:13" x14ac:dyDescent="0.3">
      <c r="A97" t="s">
        <v>122</v>
      </c>
      <c r="B97">
        <v>32</v>
      </c>
      <c r="C97" t="s">
        <v>16</v>
      </c>
      <c r="D97" t="s">
        <v>37</v>
      </c>
      <c r="E97" t="s">
        <v>18</v>
      </c>
      <c r="F97">
        <v>7.94</v>
      </c>
      <c r="G97">
        <v>2.93</v>
      </c>
      <c r="H97">
        <v>5.01</v>
      </c>
      <c r="I97">
        <v>8.3000000000000007</v>
      </c>
      <c r="J97">
        <v>53.5</v>
      </c>
      <c r="K97">
        <v>113</v>
      </c>
      <c r="L97">
        <v>0</v>
      </c>
      <c r="M9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8" spans="1:13" x14ac:dyDescent="0.3">
      <c r="A98" t="s">
        <v>123</v>
      </c>
      <c r="B98">
        <v>32</v>
      </c>
      <c r="C98" t="s">
        <v>16</v>
      </c>
      <c r="D98" t="s">
        <v>31</v>
      </c>
      <c r="E98" t="s">
        <v>18</v>
      </c>
      <c r="F98">
        <v>9.58</v>
      </c>
      <c r="G98">
        <v>3.64</v>
      </c>
      <c r="H98">
        <v>5.94</v>
      </c>
      <c r="I98">
        <v>8.9</v>
      </c>
      <c r="J98">
        <v>48.4</v>
      </c>
      <c r="K98">
        <v>74</v>
      </c>
      <c r="L98">
        <v>6.1</v>
      </c>
      <c r="M9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99" spans="1:13" x14ac:dyDescent="0.3">
      <c r="A99" t="s">
        <v>124</v>
      </c>
      <c r="B99">
        <v>30</v>
      </c>
      <c r="C99" t="s">
        <v>24</v>
      </c>
      <c r="D99" t="s">
        <v>37</v>
      </c>
      <c r="E99" t="s">
        <v>20</v>
      </c>
      <c r="F99">
        <v>3.69</v>
      </c>
      <c r="G99">
        <v>0.67</v>
      </c>
      <c r="H99">
        <v>3.02</v>
      </c>
      <c r="I99">
        <v>6.8</v>
      </c>
      <c r="J99">
        <v>61.4</v>
      </c>
      <c r="K99">
        <v>372</v>
      </c>
      <c r="L99">
        <v>10.6</v>
      </c>
      <c r="M9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0" spans="1:13" x14ac:dyDescent="0.3">
      <c r="A100" t="s">
        <v>125</v>
      </c>
      <c r="B100">
        <v>28</v>
      </c>
      <c r="C100" t="s">
        <v>16</v>
      </c>
      <c r="D100" t="s">
        <v>17</v>
      </c>
      <c r="E100" t="s">
        <v>20</v>
      </c>
      <c r="F100">
        <v>7.58</v>
      </c>
      <c r="G100">
        <v>0.38</v>
      </c>
      <c r="H100">
        <v>7.2</v>
      </c>
      <c r="I100">
        <v>7.7</v>
      </c>
      <c r="J100">
        <v>53.9</v>
      </c>
      <c r="K100">
        <v>159</v>
      </c>
      <c r="L100">
        <v>4.3</v>
      </c>
      <c r="M10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1" spans="1:13" x14ac:dyDescent="0.3">
      <c r="A101" t="s">
        <v>126</v>
      </c>
      <c r="B101">
        <v>18</v>
      </c>
      <c r="C101" t="s">
        <v>16</v>
      </c>
      <c r="D101" t="s">
        <v>29</v>
      </c>
      <c r="E101" t="s">
        <v>18</v>
      </c>
      <c r="F101">
        <v>9.82</v>
      </c>
      <c r="G101">
        <v>5.22</v>
      </c>
      <c r="H101">
        <v>4.5999999999999996</v>
      </c>
      <c r="I101">
        <v>9.1999999999999993</v>
      </c>
      <c r="J101">
        <v>58.5</v>
      </c>
      <c r="K101">
        <v>64</v>
      </c>
      <c r="L101">
        <v>2.7</v>
      </c>
      <c r="M10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2" spans="1:13" x14ac:dyDescent="0.3">
      <c r="A102" t="s">
        <v>127</v>
      </c>
      <c r="B102">
        <v>26</v>
      </c>
      <c r="C102" t="s">
        <v>24</v>
      </c>
      <c r="D102" t="s">
        <v>29</v>
      </c>
      <c r="E102" t="s">
        <v>20</v>
      </c>
      <c r="F102">
        <v>8.5299999999999994</v>
      </c>
      <c r="G102">
        <v>0.43</v>
      </c>
      <c r="H102">
        <v>8.1</v>
      </c>
      <c r="I102">
        <v>9.5</v>
      </c>
      <c r="J102">
        <v>45.4</v>
      </c>
      <c r="K102">
        <v>31</v>
      </c>
      <c r="L102">
        <v>8.3000000000000007</v>
      </c>
      <c r="M10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3" spans="1:13" x14ac:dyDescent="0.3">
      <c r="A103" t="s">
        <v>128</v>
      </c>
      <c r="B103">
        <v>27</v>
      </c>
      <c r="C103" t="s">
        <v>16</v>
      </c>
      <c r="D103" t="s">
        <v>17</v>
      </c>
      <c r="E103" t="s">
        <v>22</v>
      </c>
      <c r="F103">
        <v>7.32</v>
      </c>
      <c r="G103">
        <v>0.61</v>
      </c>
      <c r="H103">
        <v>6.71</v>
      </c>
      <c r="I103">
        <v>5.0999999999999996</v>
      </c>
      <c r="J103">
        <v>74.8</v>
      </c>
      <c r="K103">
        <v>0</v>
      </c>
      <c r="L103">
        <v>10.9</v>
      </c>
      <c r="M10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4" spans="1:13" x14ac:dyDescent="0.3">
      <c r="A104" t="s">
        <v>129</v>
      </c>
      <c r="B104">
        <v>23</v>
      </c>
      <c r="C104" t="s">
        <v>16</v>
      </c>
      <c r="D104" t="s">
        <v>29</v>
      </c>
      <c r="E104" t="s">
        <v>20</v>
      </c>
      <c r="F104">
        <v>4.3</v>
      </c>
      <c r="G104">
        <v>0.48</v>
      </c>
      <c r="H104">
        <v>3.82</v>
      </c>
      <c r="I104">
        <v>7</v>
      </c>
      <c r="J104">
        <v>66.8</v>
      </c>
      <c r="K104">
        <v>57</v>
      </c>
      <c r="L104">
        <v>8.1</v>
      </c>
      <c r="M10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5" spans="1:13" x14ac:dyDescent="0.3">
      <c r="A105" t="s">
        <v>130</v>
      </c>
      <c r="B105">
        <v>28</v>
      </c>
      <c r="C105" t="s">
        <v>24</v>
      </c>
      <c r="D105" t="s">
        <v>26</v>
      </c>
      <c r="E105" t="s">
        <v>18</v>
      </c>
      <c r="F105">
        <v>12.51</v>
      </c>
      <c r="G105">
        <v>6.79</v>
      </c>
      <c r="H105">
        <v>5.72</v>
      </c>
      <c r="I105">
        <v>10</v>
      </c>
      <c r="J105">
        <v>33.200000000000003</v>
      </c>
      <c r="K105">
        <v>90</v>
      </c>
      <c r="L105">
        <v>6.6</v>
      </c>
      <c r="M10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6" spans="1:13" x14ac:dyDescent="0.3">
      <c r="A106" t="s">
        <v>131</v>
      </c>
      <c r="B106">
        <v>33</v>
      </c>
      <c r="C106" t="s">
        <v>24</v>
      </c>
      <c r="D106" t="s">
        <v>17</v>
      </c>
      <c r="E106" t="s">
        <v>22</v>
      </c>
      <c r="F106">
        <v>4.8899999999999997</v>
      </c>
      <c r="G106">
        <v>0.62</v>
      </c>
      <c r="H106">
        <v>4.2699999999999996</v>
      </c>
      <c r="I106">
        <v>4.3</v>
      </c>
      <c r="J106">
        <v>68.3</v>
      </c>
      <c r="K106">
        <v>230</v>
      </c>
      <c r="L106">
        <v>2</v>
      </c>
      <c r="M10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7" spans="1:13" x14ac:dyDescent="0.3">
      <c r="A107" t="s">
        <v>132</v>
      </c>
      <c r="B107">
        <v>45</v>
      </c>
      <c r="C107" t="s">
        <v>16</v>
      </c>
      <c r="D107" t="s">
        <v>26</v>
      </c>
      <c r="E107" t="s">
        <v>18</v>
      </c>
      <c r="F107">
        <v>11.1</v>
      </c>
      <c r="G107">
        <v>4.95</v>
      </c>
      <c r="H107">
        <v>6.15</v>
      </c>
      <c r="I107">
        <v>9.5</v>
      </c>
      <c r="J107">
        <v>36.1</v>
      </c>
      <c r="K107">
        <v>177</v>
      </c>
      <c r="L107">
        <v>4.5999999999999996</v>
      </c>
      <c r="M10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8" spans="1:13" x14ac:dyDescent="0.3">
      <c r="A108" t="s">
        <v>133</v>
      </c>
      <c r="B108">
        <v>31</v>
      </c>
      <c r="C108" t="s">
        <v>24</v>
      </c>
      <c r="D108" t="s">
        <v>26</v>
      </c>
      <c r="E108" t="s">
        <v>22</v>
      </c>
      <c r="F108">
        <v>10.84</v>
      </c>
      <c r="G108">
        <v>0.57999999999999996</v>
      </c>
      <c r="H108">
        <v>10.26</v>
      </c>
      <c r="I108">
        <v>10</v>
      </c>
      <c r="J108">
        <v>36.4</v>
      </c>
      <c r="K108">
        <v>109</v>
      </c>
      <c r="L108">
        <v>14.9</v>
      </c>
      <c r="M10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09" spans="1:13" x14ac:dyDescent="0.3">
      <c r="A109" t="s">
        <v>134</v>
      </c>
      <c r="B109">
        <v>32</v>
      </c>
      <c r="C109" t="s">
        <v>16</v>
      </c>
      <c r="D109" t="s">
        <v>26</v>
      </c>
      <c r="E109" t="s">
        <v>18</v>
      </c>
      <c r="F109">
        <v>13.9</v>
      </c>
      <c r="G109">
        <v>5.84</v>
      </c>
      <c r="H109">
        <v>8.06</v>
      </c>
      <c r="I109">
        <v>10</v>
      </c>
      <c r="J109">
        <v>26</v>
      </c>
      <c r="K109">
        <v>53</v>
      </c>
      <c r="L109">
        <v>3</v>
      </c>
      <c r="M10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0" spans="1:13" x14ac:dyDescent="0.3">
      <c r="A110" t="s">
        <v>135</v>
      </c>
      <c r="B110">
        <v>29</v>
      </c>
      <c r="C110" t="s">
        <v>16</v>
      </c>
      <c r="D110" t="s">
        <v>17</v>
      </c>
      <c r="E110" t="s">
        <v>18</v>
      </c>
      <c r="F110">
        <v>12.05</v>
      </c>
      <c r="G110">
        <v>2.66</v>
      </c>
      <c r="H110">
        <v>9.39</v>
      </c>
      <c r="I110">
        <v>9.6</v>
      </c>
      <c r="J110">
        <v>44.8</v>
      </c>
      <c r="K110">
        <v>104</v>
      </c>
      <c r="L110">
        <v>9.3000000000000007</v>
      </c>
      <c r="M11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1" spans="1:13" x14ac:dyDescent="0.3">
      <c r="A111" t="s">
        <v>136</v>
      </c>
      <c r="B111">
        <v>16</v>
      </c>
      <c r="C111" t="s">
        <v>24</v>
      </c>
      <c r="D111" t="s">
        <v>17</v>
      </c>
      <c r="E111" t="s">
        <v>22</v>
      </c>
      <c r="F111">
        <v>6.34</v>
      </c>
      <c r="G111">
        <v>0.35</v>
      </c>
      <c r="H111">
        <v>5.99</v>
      </c>
      <c r="I111">
        <v>5</v>
      </c>
      <c r="J111">
        <v>86.8</v>
      </c>
      <c r="K111">
        <v>77</v>
      </c>
      <c r="L111">
        <v>20</v>
      </c>
      <c r="M11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2" spans="1:13" x14ac:dyDescent="0.3">
      <c r="A112" t="s">
        <v>137</v>
      </c>
      <c r="B112">
        <v>29</v>
      </c>
      <c r="C112" t="s">
        <v>16</v>
      </c>
      <c r="D112" t="s">
        <v>17</v>
      </c>
      <c r="E112" t="s">
        <v>20</v>
      </c>
      <c r="F112">
        <v>11.04</v>
      </c>
      <c r="G112">
        <v>0.85</v>
      </c>
      <c r="H112">
        <v>10.19</v>
      </c>
      <c r="I112">
        <v>10</v>
      </c>
      <c r="J112">
        <v>42.3</v>
      </c>
      <c r="K112">
        <v>212</v>
      </c>
      <c r="L112">
        <v>0</v>
      </c>
      <c r="M11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3" spans="1:13" x14ac:dyDescent="0.3">
      <c r="A113" t="s">
        <v>138</v>
      </c>
      <c r="B113">
        <v>30</v>
      </c>
      <c r="C113" t="s">
        <v>16</v>
      </c>
      <c r="D113" t="s">
        <v>26</v>
      </c>
      <c r="E113" t="s">
        <v>18</v>
      </c>
      <c r="F113">
        <v>11.19</v>
      </c>
      <c r="G113">
        <v>5.16</v>
      </c>
      <c r="H113">
        <v>6.03</v>
      </c>
      <c r="I113">
        <v>9.1999999999999993</v>
      </c>
      <c r="J113">
        <v>35.9</v>
      </c>
      <c r="K113">
        <v>78</v>
      </c>
      <c r="L113">
        <v>11.5</v>
      </c>
      <c r="M11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4" spans="1:13" x14ac:dyDescent="0.3">
      <c r="A114" t="s">
        <v>139</v>
      </c>
      <c r="B114">
        <v>49</v>
      </c>
      <c r="C114" t="s">
        <v>16</v>
      </c>
      <c r="D114" t="s">
        <v>17</v>
      </c>
      <c r="E114" t="s">
        <v>22</v>
      </c>
      <c r="F114">
        <v>10.050000000000001</v>
      </c>
      <c r="G114">
        <v>0.5</v>
      </c>
      <c r="H114">
        <v>9.5500000000000007</v>
      </c>
      <c r="I114">
        <v>7.1</v>
      </c>
      <c r="J114">
        <v>56.7</v>
      </c>
      <c r="K114">
        <v>101</v>
      </c>
      <c r="L114">
        <v>13.9</v>
      </c>
      <c r="M11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5" spans="1:13" x14ac:dyDescent="0.3">
      <c r="A115" t="s">
        <v>140</v>
      </c>
      <c r="B115">
        <v>28</v>
      </c>
      <c r="C115" t="s">
        <v>16</v>
      </c>
      <c r="D115" t="s">
        <v>17</v>
      </c>
      <c r="E115" t="s">
        <v>20</v>
      </c>
      <c r="F115">
        <v>11.94</v>
      </c>
      <c r="G115">
        <v>0.6</v>
      </c>
      <c r="H115">
        <v>11.34</v>
      </c>
      <c r="I115">
        <v>10</v>
      </c>
      <c r="J115">
        <v>37.299999999999997</v>
      </c>
      <c r="K115">
        <v>0</v>
      </c>
      <c r="L115">
        <v>5.7</v>
      </c>
      <c r="M11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6" spans="1:13" x14ac:dyDescent="0.3">
      <c r="A116" t="s">
        <v>141</v>
      </c>
      <c r="B116">
        <v>32</v>
      </c>
      <c r="C116" t="s">
        <v>16</v>
      </c>
      <c r="D116" t="s">
        <v>17</v>
      </c>
      <c r="E116" t="s">
        <v>18</v>
      </c>
      <c r="F116">
        <v>7.8</v>
      </c>
      <c r="G116">
        <v>4.17</v>
      </c>
      <c r="H116">
        <v>3.63</v>
      </c>
      <c r="I116">
        <v>6.9</v>
      </c>
      <c r="J116">
        <v>52.6</v>
      </c>
      <c r="K116">
        <v>99</v>
      </c>
      <c r="L116">
        <v>11.6</v>
      </c>
      <c r="M11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7" spans="1:13" x14ac:dyDescent="0.3">
      <c r="A117" t="s">
        <v>142</v>
      </c>
      <c r="B117">
        <v>29</v>
      </c>
      <c r="C117" t="s">
        <v>16</v>
      </c>
      <c r="D117" t="s">
        <v>17</v>
      </c>
      <c r="E117" t="s">
        <v>22</v>
      </c>
      <c r="F117">
        <v>11.23</v>
      </c>
      <c r="G117">
        <v>2.25</v>
      </c>
      <c r="H117">
        <v>8.98</v>
      </c>
      <c r="I117">
        <v>9.3000000000000007</v>
      </c>
      <c r="J117">
        <v>55.1</v>
      </c>
      <c r="K117">
        <v>149</v>
      </c>
      <c r="L117">
        <v>0</v>
      </c>
      <c r="M11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8" spans="1:13" x14ac:dyDescent="0.3">
      <c r="A118" t="s">
        <v>143</v>
      </c>
      <c r="B118">
        <v>20</v>
      </c>
      <c r="C118" t="s">
        <v>16</v>
      </c>
      <c r="D118" t="s">
        <v>17</v>
      </c>
      <c r="E118" t="s">
        <v>22</v>
      </c>
      <c r="F118">
        <v>8.6999999999999993</v>
      </c>
      <c r="G118">
        <v>1.4</v>
      </c>
      <c r="H118">
        <v>7.3</v>
      </c>
      <c r="I118">
        <v>8.4</v>
      </c>
      <c r="J118">
        <v>56.2</v>
      </c>
      <c r="K118">
        <v>26</v>
      </c>
      <c r="L118">
        <v>5.4</v>
      </c>
      <c r="M11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19" spans="1:13" x14ac:dyDescent="0.3">
      <c r="A119" t="s">
        <v>145</v>
      </c>
      <c r="B119">
        <v>36</v>
      </c>
      <c r="C119" t="s">
        <v>24</v>
      </c>
      <c r="D119" t="s">
        <v>17</v>
      </c>
      <c r="E119" t="s">
        <v>18</v>
      </c>
      <c r="F119">
        <v>10.119999999999999</v>
      </c>
      <c r="G119">
        <v>4.82</v>
      </c>
      <c r="H119">
        <v>5.3</v>
      </c>
      <c r="I119">
        <v>10</v>
      </c>
      <c r="J119">
        <v>47.2</v>
      </c>
      <c r="K119">
        <v>156</v>
      </c>
      <c r="L119">
        <v>12.6</v>
      </c>
      <c r="M11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0" spans="1:13" x14ac:dyDescent="0.3">
      <c r="A120" t="s">
        <v>146</v>
      </c>
      <c r="B120">
        <v>36</v>
      </c>
      <c r="C120" t="s">
        <v>24</v>
      </c>
      <c r="D120" t="s">
        <v>26</v>
      </c>
      <c r="E120" t="s">
        <v>22</v>
      </c>
      <c r="F120">
        <v>10.039999999999999</v>
      </c>
      <c r="G120">
        <v>2.11</v>
      </c>
      <c r="H120">
        <v>7.93</v>
      </c>
      <c r="I120">
        <v>10</v>
      </c>
      <c r="J120">
        <v>52.1</v>
      </c>
      <c r="K120">
        <v>0</v>
      </c>
      <c r="L120">
        <v>14.6</v>
      </c>
      <c r="M12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1" spans="1:13" x14ac:dyDescent="0.3">
      <c r="A121" t="s">
        <v>147</v>
      </c>
      <c r="B121">
        <v>22</v>
      </c>
      <c r="C121" t="s">
        <v>24</v>
      </c>
      <c r="D121" t="s">
        <v>26</v>
      </c>
      <c r="E121" t="s">
        <v>20</v>
      </c>
      <c r="F121">
        <v>6.42</v>
      </c>
      <c r="G121">
        <v>0.32</v>
      </c>
      <c r="H121">
        <v>6.1</v>
      </c>
      <c r="I121">
        <v>6.7</v>
      </c>
      <c r="J121">
        <v>73</v>
      </c>
      <c r="K121">
        <v>190</v>
      </c>
      <c r="L121">
        <v>15.4</v>
      </c>
      <c r="M12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2" spans="1:13" x14ac:dyDescent="0.3">
      <c r="A122" t="s">
        <v>148</v>
      </c>
      <c r="B122">
        <v>41</v>
      </c>
      <c r="C122" t="s">
        <v>24</v>
      </c>
      <c r="D122" t="s">
        <v>29</v>
      </c>
      <c r="E122" t="s">
        <v>20</v>
      </c>
      <c r="F122">
        <v>9.58</v>
      </c>
      <c r="G122">
        <v>2.08</v>
      </c>
      <c r="H122">
        <v>7.5</v>
      </c>
      <c r="I122">
        <v>6.6</v>
      </c>
      <c r="J122">
        <v>80.400000000000006</v>
      </c>
      <c r="K122">
        <v>69</v>
      </c>
      <c r="L122">
        <v>3.8</v>
      </c>
      <c r="M12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3" spans="1:13" x14ac:dyDescent="0.3">
      <c r="A123" t="s">
        <v>149</v>
      </c>
      <c r="B123">
        <v>18</v>
      </c>
      <c r="C123" t="s">
        <v>16</v>
      </c>
      <c r="D123" t="s">
        <v>26</v>
      </c>
      <c r="E123" t="s">
        <v>22</v>
      </c>
      <c r="F123">
        <v>7.77</v>
      </c>
      <c r="G123">
        <v>1.17</v>
      </c>
      <c r="H123">
        <v>6.6</v>
      </c>
      <c r="I123">
        <v>10</v>
      </c>
      <c r="J123">
        <v>40.9</v>
      </c>
      <c r="K123">
        <v>78</v>
      </c>
      <c r="L123">
        <v>17</v>
      </c>
      <c r="M12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4" spans="1:13" x14ac:dyDescent="0.3">
      <c r="A124" t="s">
        <v>150</v>
      </c>
      <c r="B124">
        <v>34</v>
      </c>
      <c r="C124" t="s">
        <v>16</v>
      </c>
      <c r="D124" t="s">
        <v>29</v>
      </c>
      <c r="E124" t="s">
        <v>22</v>
      </c>
      <c r="F124">
        <v>7.85</v>
      </c>
      <c r="G124">
        <v>1.44</v>
      </c>
      <c r="H124">
        <v>6.41</v>
      </c>
      <c r="I124">
        <v>8.1</v>
      </c>
      <c r="J124">
        <v>70.8</v>
      </c>
      <c r="K124">
        <v>34</v>
      </c>
      <c r="L124">
        <v>10.5</v>
      </c>
      <c r="M12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5" spans="1:13" x14ac:dyDescent="0.3">
      <c r="A125" t="s">
        <v>151</v>
      </c>
      <c r="B125">
        <v>47</v>
      </c>
      <c r="C125" t="s">
        <v>24</v>
      </c>
      <c r="D125" t="s">
        <v>17</v>
      </c>
      <c r="E125" t="s">
        <v>22</v>
      </c>
      <c r="F125">
        <v>6</v>
      </c>
      <c r="G125">
        <v>0.3</v>
      </c>
      <c r="H125">
        <v>5.7</v>
      </c>
      <c r="I125">
        <v>9.4</v>
      </c>
      <c r="J125">
        <v>49.3</v>
      </c>
      <c r="K125">
        <v>157</v>
      </c>
      <c r="L125">
        <v>16.399999999999999</v>
      </c>
      <c r="M12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6" spans="1:13" x14ac:dyDescent="0.3">
      <c r="A126" t="s">
        <v>152</v>
      </c>
      <c r="B126">
        <v>22</v>
      </c>
      <c r="C126" t="s">
        <v>24</v>
      </c>
      <c r="D126" t="s">
        <v>37</v>
      </c>
      <c r="E126" t="s">
        <v>20</v>
      </c>
      <c r="F126">
        <v>9.23</v>
      </c>
      <c r="G126">
        <v>0.73</v>
      </c>
      <c r="H126">
        <v>8.5</v>
      </c>
      <c r="I126">
        <v>4.8</v>
      </c>
      <c r="J126">
        <v>67.400000000000006</v>
      </c>
      <c r="K126">
        <v>271</v>
      </c>
      <c r="L126">
        <v>7.9</v>
      </c>
      <c r="M12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7" spans="1:13" x14ac:dyDescent="0.3">
      <c r="A127" t="s">
        <v>153</v>
      </c>
      <c r="B127">
        <v>25</v>
      </c>
      <c r="C127" t="s">
        <v>24</v>
      </c>
      <c r="D127" t="s">
        <v>17</v>
      </c>
      <c r="E127" t="s">
        <v>22</v>
      </c>
      <c r="F127">
        <v>11.27</v>
      </c>
      <c r="G127">
        <v>1.99</v>
      </c>
      <c r="H127">
        <v>9.2799999999999994</v>
      </c>
      <c r="I127">
        <v>8.9</v>
      </c>
      <c r="J127">
        <v>59.5</v>
      </c>
      <c r="K127">
        <v>143</v>
      </c>
      <c r="L127">
        <v>6.6</v>
      </c>
      <c r="M12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8" spans="1:13" x14ac:dyDescent="0.3">
      <c r="A128" t="s">
        <v>154</v>
      </c>
      <c r="B128">
        <v>30</v>
      </c>
      <c r="C128" t="s">
        <v>16</v>
      </c>
      <c r="D128" t="s">
        <v>31</v>
      </c>
      <c r="E128" t="s">
        <v>18</v>
      </c>
      <c r="F128">
        <v>9.0500000000000007</v>
      </c>
      <c r="G128">
        <v>5.35</v>
      </c>
      <c r="H128">
        <v>3.7</v>
      </c>
      <c r="I128">
        <v>10</v>
      </c>
      <c r="J128">
        <v>40.9</v>
      </c>
      <c r="K128">
        <v>43</v>
      </c>
      <c r="L128">
        <v>7.6</v>
      </c>
      <c r="M12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29" spans="1:13" x14ac:dyDescent="0.3">
      <c r="A129" t="s">
        <v>155</v>
      </c>
      <c r="B129">
        <v>25</v>
      </c>
      <c r="C129" t="s">
        <v>16</v>
      </c>
      <c r="D129" t="s">
        <v>17</v>
      </c>
      <c r="E129" t="s">
        <v>20</v>
      </c>
      <c r="F129">
        <v>8.07</v>
      </c>
      <c r="G129">
        <v>0.75</v>
      </c>
      <c r="H129">
        <v>7.32</v>
      </c>
      <c r="I129">
        <v>7.9</v>
      </c>
      <c r="J129">
        <v>56.7</v>
      </c>
      <c r="K129">
        <v>187</v>
      </c>
      <c r="L129">
        <v>0</v>
      </c>
      <c r="M12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0" spans="1:13" x14ac:dyDescent="0.3">
      <c r="A130" t="s">
        <v>156</v>
      </c>
      <c r="B130">
        <v>17</v>
      </c>
      <c r="C130" t="s">
        <v>16</v>
      </c>
      <c r="D130" t="s">
        <v>17</v>
      </c>
      <c r="E130" t="s">
        <v>22</v>
      </c>
      <c r="F130">
        <v>5.52</v>
      </c>
      <c r="G130">
        <v>1.1599999999999999</v>
      </c>
      <c r="H130">
        <v>4.3600000000000003</v>
      </c>
      <c r="I130">
        <v>3.7</v>
      </c>
      <c r="J130">
        <v>79</v>
      </c>
      <c r="K130">
        <v>96</v>
      </c>
      <c r="L130">
        <v>3.2</v>
      </c>
      <c r="M13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1" spans="1:13" x14ac:dyDescent="0.3">
      <c r="A131" t="s">
        <v>157</v>
      </c>
      <c r="B131">
        <v>30</v>
      </c>
      <c r="C131" t="s">
        <v>16</v>
      </c>
      <c r="D131" t="s">
        <v>17</v>
      </c>
      <c r="E131" t="s">
        <v>22</v>
      </c>
      <c r="F131">
        <v>10.27</v>
      </c>
      <c r="G131">
        <v>0.96</v>
      </c>
      <c r="H131">
        <v>9.31</v>
      </c>
      <c r="I131">
        <v>8.3000000000000007</v>
      </c>
      <c r="J131">
        <v>60</v>
      </c>
      <c r="K131">
        <v>193</v>
      </c>
      <c r="L131">
        <v>10.8</v>
      </c>
      <c r="M13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2" spans="1:13" x14ac:dyDescent="0.3">
      <c r="A132" t="s">
        <v>158</v>
      </c>
      <c r="B132">
        <v>21</v>
      </c>
      <c r="C132" t="s">
        <v>24</v>
      </c>
      <c r="D132" t="s">
        <v>17</v>
      </c>
      <c r="E132" t="s">
        <v>18</v>
      </c>
      <c r="F132">
        <v>9.59</v>
      </c>
      <c r="G132">
        <v>4.62</v>
      </c>
      <c r="H132">
        <v>4.97</v>
      </c>
      <c r="I132">
        <v>8.8000000000000007</v>
      </c>
      <c r="J132">
        <v>56.1</v>
      </c>
      <c r="K132">
        <v>152</v>
      </c>
      <c r="L132">
        <v>0</v>
      </c>
      <c r="M13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3" spans="1:13" x14ac:dyDescent="0.3">
      <c r="A133" t="s">
        <v>159</v>
      </c>
      <c r="B133">
        <v>33</v>
      </c>
      <c r="C133" t="s">
        <v>24</v>
      </c>
      <c r="D133" t="s">
        <v>17</v>
      </c>
      <c r="E133" t="s">
        <v>22</v>
      </c>
      <c r="F133">
        <v>12.19</v>
      </c>
      <c r="G133">
        <v>2.56</v>
      </c>
      <c r="H133">
        <v>9.6300000000000008</v>
      </c>
      <c r="I133">
        <v>10</v>
      </c>
      <c r="J133">
        <v>39.4</v>
      </c>
      <c r="K133">
        <v>0</v>
      </c>
      <c r="L133">
        <v>11.1</v>
      </c>
      <c r="M13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4" spans="1:13" x14ac:dyDescent="0.3">
      <c r="A134" t="s">
        <v>160</v>
      </c>
      <c r="B134">
        <v>22</v>
      </c>
      <c r="C134" t="s">
        <v>16</v>
      </c>
      <c r="D134" t="s">
        <v>29</v>
      </c>
      <c r="E134" t="s">
        <v>18</v>
      </c>
      <c r="F134">
        <v>6.09</v>
      </c>
      <c r="G134">
        <v>3.86</v>
      </c>
      <c r="H134">
        <v>2.23</v>
      </c>
      <c r="I134">
        <v>6.4</v>
      </c>
      <c r="J134">
        <v>64.099999999999994</v>
      </c>
      <c r="K134">
        <v>47</v>
      </c>
      <c r="L134">
        <v>15.9</v>
      </c>
      <c r="M13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5" spans="1:13" x14ac:dyDescent="0.3">
      <c r="A135" t="s">
        <v>161</v>
      </c>
      <c r="B135">
        <v>42</v>
      </c>
      <c r="C135" t="s">
        <v>28</v>
      </c>
      <c r="D135" t="s">
        <v>31</v>
      </c>
      <c r="E135" t="s">
        <v>22</v>
      </c>
      <c r="F135">
        <v>5.87</v>
      </c>
      <c r="G135">
        <v>0.31</v>
      </c>
      <c r="H135">
        <v>5.56</v>
      </c>
      <c r="I135">
        <v>5.8</v>
      </c>
      <c r="J135">
        <v>68.8</v>
      </c>
      <c r="K135">
        <v>195</v>
      </c>
      <c r="L135">
        <v>9.6999999999999993</v>
      </c>
      <c r="M13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6" spans="1:13" x14ac:dyDescent="0.3">
      <c r="A136" t="s">
        <v>162</v>
      </c>
      <c r="B136">
        <v>23</v>
      </c>
      <c r="C136" t="s">
        <v>24</v>
      </c>
      <c r="D136" t="s">
        <v>17</v>
      </c>
      <c r="E136" t="s">
        <v>18</v>
      </c>
      <c r="F136">
        <v>9.65</v>
      </c>
      <c r="G136">
        <v>3.25</v>
      </c>
      <c r="H136">
        <v>6.4</v>
      </c>
      <c r="I136">
        <v>10</v>
      </c>
      <c r="J136">
        <v>50.5</v>
      </c>
      <c r="K136">
        <v>107</v>
      </c>
      <c r="L136">
        <v>5.8</v>
      </c>
      <c r="M13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7" spans="1:13" x14ac:dyDescent="0.3">
      <c r="A137" t="s">
        <v>163</v>
      </c>
      <c r="B137">
        <v>27</v>
      </c>
      <c r="C137" t="s">
        <v>16</v>
      </c>
      <c r="D137" t="s">
        <v>17</v>
      </c>
      <c r="E137" t="s">
        <v>22</v>
      </c>
      <c r="F137">
        <v>9.1300000000000008</v>
      </c>
      <c r="G137">
        <v>1.44</v>
      </c>
      <c r="H137">
        <v>7.69</v>
      </c>
      <c r="I137">
        <v>10</v>
      </c>
      <c r="J137">
        <v>34.4</v>
      </c>
      <c r="K137">
        <v>30</v>
      </c>
      <c r="L137">
        <v>18.399999999999999</v>
      </c>
      <c r="M13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8" spans="1:13" x14ac:dyDescent="0.3">
      <c r="A138" t="s">
        <v>164</v>
      </c>
      <c r="B138">
        <v>36</v>
      </c>
      <c r="C138" t="s">
        <v>16</v>
      </c>
      <c r="D138" t="s">
        <v>17</v>
      </c>
      <c r="E138" t="s">
        <v>20</v>
      </c>
      <c r="F138">
        <v>5.07</v>
      </c>
      <c r="G138">
        <v>1.21</v>
      </c>
      <c r="H138">
        <v>3.86</v>
      </c>
      <c r="I138">
        <v>5.2</v>
      </c>
      <c r="J138">
        <v>79.099999999999994</v>
      </c>
      <c r="K138">
        <v>86</v>
      </c>
      <c r="L138">
        <v>19.100000000000001</v>
      </c>
      <c r="M13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39" spans="1:13" x14ac:dyDescent="0.3">
      <c r="A139" t="s">
        <v>165</v>
      </c>
      <c r="B139">
        <v>20</v>
      </c>
      <c r="C139" t="s">
        <v>16</v>
      </c>
      <c r="D139" t="s">
        <v>17</v>
      </c>
      <c r="E139" t="s">
        <v>18</v>
      </c>
      <c r="F139">
        <v>8.14</v>
      </c>
      <c r="G139">
        <v>1.22</v>
      </c>
      <c r="H139">
        <v>6.92</v>
      </c>
      <c r="I139">
        <v>8.5</v>
      </c>
      <c r="J139">
        <v>56.2</v>
      </c>
      <c r="K139">
        <v>0</v>
      </c>
      <c r="L139">
        <v>7.5</v>
      </c>
      <c r="M13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0" spans="1:13" x14ac:dyDescent="0.3">
      <c r="A140" t="s">
        <v>166</v>
      </c>
      <c r="B140">
        <v>31</v>
      </c>
      <c r="C140" t="s">
        <v>16</v>
      </c>
      <c r="D140" t="s">
        <v>26</v>
      </c>
      <c r="E140" t="s">
        <v>20</v>
      </c>
      <c r="F140">
        <v>11.85</v>
      </c>
      <c r="G140">
        <v>1.91</v>
      </c>
      <c r="H140">
        <v>9.94</v>
      </c>
      <c r="I140">
        <v>10</v>
      </c>
      <c r="J140">
        <v>41.2</v>
      </c>
      <c r="K140">
        <v>81</v>
      </c>
      <c r="L140">
        <v>10.4</v>
      </c>
      <c r="M14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1" spans="1:13" x14ac:dyDescent="0.3">
      <c r="A141" t="s">
        <v>167</v>
      </c>
      <c r="B141">
        <v>40</v>
      </c>
      <c r="C141" t="s">
        <v>16</v>
      </c>
      <c r="D141" t="s">
        <v>26</v>
      </c>
      <c r="E141" t="s">
        <v>18</v>
      </c>
      <c r="F141">
        <v>10.39</v>
      </c>
      <c r="G141">
        <v>1.58</v>
      </c>
      <c r="H141">
        <v>8.81</v>
      </c>
      <c r="I141">
        <v>6.8</v>
      </c>
      <c r="J141">
        <v>73.599999999999994</v>
      </c>
      <c r="K141">
        <v>255</v>
      </c>
      <c r="L141">
        <v>7.4</v>
      </c>
      <c r="M14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2" spans="1:13" x14ac:dyDescent="0.3">
      <c r="A142" t="s">
        <v>168</v>
      </c>
      <c r="B142">
        <v>17</v>
      </c>
      <c r="C142" t="s">
        <v>16</v>
      </c>
      <c r="D142" t="s">
        <v>17</v>
      </c>
      <c r="E142" t="s">
        <v>20</v>
      </c>
      <c r="F142">
        <v>3.76</v>
      </c>
      <c r="G142">
        <v>0.78</v>
      </c>
      <c r="H142">
        <v>2.98</v>
      </c>
      <c r="I142">
        <v>2.9</v>
      </c>
      <c r="J142">
        <v>79.599999999999994</v>
      </c>
      <c r="K142">
        <v>185</v>
      </c>
      <c r="L142">
        <v>10</v>
      </c>
      <c r="M14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3" spans="1:13" x14ac:dyDescent="0.3">
      <c r="A143" t="s">
        <v>169</v>
      </c>
      <c r="B143">
        <v>31</v>
      </c>
      <c r="C143" t="s">
        <v>16</v>
      </c>
      <c r="D143" t="s">
        <v>17</v>
      </c>
      <c r="E143" t="s">
        <v>20</v>
      </c>
      <c r="F143">
        <v>5.9</v>
      </c>
      <c r="G143">
        <v>0.34</v>
      </c>
      <c r="H143">
        <v>5.56</v>
      </c>
      <c r="I143">
        <v>5.5</v>
      </c>
      <c r="J143">
        <v>67.099999999999994</v>
      </c>
      <c r="K143">
        <v>276</v>
      </c>
      <c r="L143">
        <v>10.8</v>
      </c>
      <c r="M14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4" spans="1:13" x14ac:dyDescent="0.3">
      <c r="A144" t="s">
        <v>170</v>
      </c>
      <c r="B144">
        <v>32</v>
      </c>
      <c r="C144" t="s">
        <v>16</v>
      </c>
      <c r="D144" t="s">
        <v>17</v>
      </c>
      <c r="E144" t="s">
        <v>22</v>
      </c>
      <c r="F144">
        <v>8.76</v>
      </c>
      <c r="G144">
        <v>1.86</v>
      </c>
      <c r="H144">
        <v>6.9</v>
      </c>
      <c r="I144">
        <v>6.2</v>
      </c>
      <c r="J144">
        <v>54.4</v>
      </c>
      <c r="K144">
        <v>168</v>
      </c>
      <c r="L144">
        <v>10</v>
      </c>
      <c r="M14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5" spans="1:13" x14ac:dyDescent="0.3">
      <c r="A145" t="s">
        <v>171</v>
      </c>
      <c r="B145">
        <v>36</v>
      </c>
      <c r="C145" t="s">
        <v>24</v>
      </c>
      <c r="D145" t="s">
        <v>26</v>
      </c>
      <c r="E145" t="s">
        <v>22</v>
      </c>
      <c r="F145">
        <v>12.18</v>
      </c>
      <c r="G145">
        <v>1.91</v>
      </c>
      <c r="H145">
        <v>10.27</v>
      </c>
      <c r="I145">
        <v>10</v>
      </c>
      <c r="J145">
        <v>36.4</v>
      </c>
      <c r="K145">
        <v>160</v>
      </c>
      <c r="L145">
        <v>11.2</v>
      </c>
      <c r="M14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6" spans="1:13" x14ac:dyDescent="0.3">
      <c r="A146" t="s">
        <v>173</v>
      </c>
      <c r="B146">
        <v>19</v>
      </c>
      <c r="C146" t="s">
        <v>24</v>
      </c>
      <c r="D146" t="s">
        <v>26</v>
      </c>
      <c r="E146" t="s">
        <v>18</v>
      </c>
      <c r="F146">
        <v>8.6999999999999993</v>
      </c>
      <c r="G146">
        <v>4.17</v>
      </c>
      <c r="H146">
        <v>4.53</v>
      </c>
      <c r="I146">
        <v>10</v>
      </c>
      <c r="J146">
        <v>44.2</v>
      </c>
      <c r="K146">
        <v>127</v>
      </c>
      <c r="L146">
        <v>0</v>
      </c>
      <c r="M14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7" spans="1:13" x14ac:dyDescent="0.3">
      <c r="A147" t="s">
        <v>174</v>
      </c>
      <c r="B147">
        <v>34</v>
      </c>
      <c r="C147" t="s">
        <v>16</v>
      </c>
      <c r="D147" t="s">
        <v>31</v>
      </c>
      <c r="E147" t="s">
        <v>18</v>
      </c>
      <c r="F147">
        <v>7.18</v>
      </c>
      <c r="G147">
        <v>1.47</v>
      </c>
      <c r="H147">
        <v>5.71</v>
      </c>
      <c r="I147">
        <v>3.6</v>
      </c>
      <c r="J147">
        <v>64.8</v>
      </c>
      <c r="K147">
        <v>104</v>
      </c>
      <c r="L147">
        <v>8</v>
      </c>
      <c r="M14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8" spans="1:13" x14ac:dyDescent="0.3">
      <c r="A148" t="s">
        <v>175</v>
      </c>
      <c r="B148">
        <v>32</v>
      </c>
      <c r="C148" t="s">
        <v>28</v>
      </c>
      <c r="D148" t="s">
        <v>17</v>
      </c>
      <c r="E148" t="s">
        <v>22</v>
      </c>
      <c r="F148">
        <v>9.11</v>
      </c>
      <c r="G148">
        <v>0.93</v>
      </c>
      <c r="H148">
        <v>8.18</v>
      </c>
      <c r="I148">
        <v>9</v>
      </c>
      <c r="J148">
        <v>45.4</v>
      </c>
      <c r="K148">
        <v>177</v>
      </c>
      <c r="L148">
        <v>0.7</v>
      </c>
      <c r="M14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49" spans="1:13" x14ac:dyDescent="0.3">
      <c r="A149" t="s">
        <v>176</v>
      </c>
      <c r="B149">
        <v>32</v>
      </c>
      <c r="C149" t="s">
        <v>16</v>
      </c>
      <c r="D149" t="s">
        <v>17</v>
      </c>
      <c r="E149" t="s">
        <v>20</v>
      </c>
      <c r="F149">
        <v>7.47</v>
      </c>
      <c r="G149">
        <v>0.37</v>
      </c>
      <c r="H149">
        <v>7.1</v>
      </c>
      <c r="I149">
        <v>10</v>
      </c>
      <c r="J149">
        <v>37.9</v>
      </c>
      <c r="K149">
        <v>216</v>
      </c>
      <c r="L149">
        <v>15.5</v>
      </c>
      <c r="M14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0" spans="1:13" x14ac:dyDescent="0.3">
      <c r="A150" t="s">
        <v>177</v>
      </c>
      <c r="B150">
        <v>32</v>
      </c>
      <c r="C150" t="s">
        <v>16</v>
      </c>
      <c r="D150" t="s">
        <v>17</v>
      </c>
      <c r="E150" t="s">
        <v>20</v>
      </c>
      <c r="F150">
        <v>8.9700000000000006</v>
      </c>
      <c r="G150">
        <v>1.93</v>
      </c>
      <c r="H150">
        <v>7.04</v>
      </c>
      <c r="I150">
        <v>8.1999999999999993</v>
      </c>
      <c r="J150">
        <v>51</v>
      </c>
      <c r="K150">
        <v>72</v>
      </c>
      <c r="L150">
        <v>6.7</v>
      </c>
      <c r="M15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1" spans="1:13" x14ac:dyDescent="0.3">
      <c r="A151" t="s">
        <v>178</v>
      </c>
      <c r="B151">
        <v>24</v>
      </c>
      <c r="C151" t="s">
        <v>24</v>
      </c>
      <c r="D151" t="s">
        <v>26</v>
      </c>
      <c r="E151" t="s">
        <v>20</v>
      </c>
      <c r="F151">
        <v>7.98</v>
      </c>
      <c r="G151">
        <v>0.7</v>
      </c>
      <c r="H151">
        <v>7.28</v>
      </c>
      <c r="I151">
        <v>9.5</v>
      </c>
      <c r="J151">
        <v>50.4</v>
      </c>
      <c r="K151">
        <v>57</v>
      </c>
      <c r="L151">
        <v>2.2999999999999998</v>
      </c>
      <c r="M15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2" spans="1:13" x14ac:dyDescent="0.3">
      <c r="A152" t="s">
        <v>179</v>
      </c>
      <c r="B152">
        <v>31</v>
      </c>
      <c r="C152" t="s">
        <v>24</v>
      </c>
      <c r="D152" t="s">
        <v>37</v>
      </c>
      <c r="E152" t="s">
        <v>22</v>
      </c>
      <c r="F152">
        <v>7.22</v>
      </c>
      <c r="G152">
        <v>1.48</v>
      </c>
      <c r="H152">
        <v>5.74</v>
      </c>
      <c r="I152">
        <v>7.9</v>
      </c>
      <c r="J152">
        <v>48.5</v>
      </c>
      <c r="K152">
        <v>125</v>
      </c>
      <c r="L152">
        <v>14.3</v>
      </c>
      <c r="M15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3" spans="1:13" x14ac:dyDescent="0.3">
      <c r="A153" t="s">
        <v>180</v>
      </c>
      <c r="B153">
        <v>32</v>
      </c>
      <c r="C153" t="s">
        <v>24</v>
      </c>
      <c r="D153" t="s">
        <v>17</v>
      </c>
      <c r="E153" t="s">
        <v>20</v>
      </c>
      <c r="F153">
        <v>7.16</v>
      </c>
      <c r="G153">
        <v>1.04</v>
      </c>
      <c r="H153">
        <v>6.12</v>
      </c>
      <c r="I153">
        <v>5.5</v>
      </c>
      <c r="J153">
        <v>77.900000000000006</v>
      </c>
      <c r="K153">
        <v>174</v>
      </c>
      <c r="L153">
        <v>15.1</v>
      </c>
      <c r="M15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4" spans="1:13" x14ac:dyDescent="0.3">
      <c r="A154" t="s">
        <v>181</v>
      </c>
      <c r="B154">
        <v>24</v>
      </c>
      <c r="C154" t="s">
        <v>16</v>
      </c>
      <c r="D154" t="s">
        <v>26</v>
      </c>
      <c r="E154" t="s">
        <v>18</v>
      </c>
      <c r="F154">
        <v>16.29</v>
      </c>
      <c r="G154">
        <v>5.9</v>
      </c>
      <c r="H154">
        <v>10.39</v>
      </c>
      <c r="I154">
        <v>10</v>
      </c>
      <c r="J154">
        <v>33.1</v>
      </c>
      <c r="K154">
        <v>113</v>
      </c>
      <c r="L154">
        <v>7.3</v>
      </c>
      <c r="M15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5" spans="1:13" x14ac:dyDescent="0.3">
      <c r="A155" t="s">
        <v>182</v>
      </c>
      <c r="B155">
        <v>44</v>
      </c>
      <c r="C155" t="s">
        <v>16</v>
      </c>
      <c r="D155" t="s">
        <v>17</v>
      </c>
      <c r="E155" t="s">
        <v>22</v>
      </c>
      <c r="F155">
        <v>9.52</v>
      </c>
      <c r="G155">
        <v>0.48</v>
      </c>
      <c r="H155">
        <v>9.0399999999999991</v>
      </c>
      <c r="I155">
        <v>9.9</v>
      </c>
      <c r="J155">
        <v>44.6</v>
      </c>
      <c r="K155">
        <v>8</v>
      </c>
      <c r="L155">
        <v>9.9</v>
      </c>
      <c r="M15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6" spans="1:13" x14ac:dyDescent="0.3">
      <c r="A156" t="s">
        <v>183</v>
      </c>
      <c r="B156">
        <v>33</v>
      </c>
      <c r="C156" t="s">
        <v>24</v>
      </c>
      <c r="D156" t="s">
        <v>29</v>
      </c>
      <c r="E156" t="s">
        <v>18</v>
      </c>
      <c r="F156">
        <v>12.39</v>
      </c>
      <c r="G156">
        <v>3.06</v>
      </c>
      <c r="H156">
        <v>9.33</v>
      </c>
      <c r="I156">
        <v>10</v>
      </c>
      <c r="J156">
        <v>37.700000000000003</v>
      </c>
      <c r="K156">
        <v>219</v>
      </c>
      <c r="L156">
        <v>9.1999999999999993</v>
      </c>
      <c r="M15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7" spans="1:13" x14ac:dyDescent="0.3">
      <c r="A157" t="s">
        <v>184</v>
      </c>
      <c r="B157">
        <v>20</v>
      </c>
      <c r="C157" t="s">
        <v>24</v>
      </c>
      <c r="D157" t="s">
        <v>37</v>
      </c>
      <c r="E157" t="s">
        <v>18</v>
      </c>
      <c r="F157">
        <v>8.8000000000000007</v>
      </c>
      <c r="G157">
        <v>4.08</v>
      </c>
      <c r="H157">
        <v>4.72</v>
      </c>
      <c r="I157">
        <v>7.8</v>
      </c>
      <c r="J157">
        <v>58.2</v>
      </c>
      <c r="K157">
        <v>55</v>
      </c>
      <c r="L157">
        <v>17.8</v>
      </c>
      <c r="M15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8" spans="1:13" x14ac:dyDescent="0.3">
      <c r="A158" t="s">
        <v>185</v>
      </c>
      <c r="B158">
        <v>35</v>
      </c>
      <c r="C158" t="s">
        <v>24</v>
      </c>
      <c r="D158" t="s">
        <v>17</v>
      </c>
      <c r="E158" t="s">
        <v>22</v>
      </c>
      <c r="F158">
        <v>8.99</v>
      </c>
      <c r="G158">
        <v>0.51</v>
      </c>
      <c r="H158">
        <v>8.48</v>
      </c>
      <c r="I158">
        <v>8.4</v>
      </c>
      <c r="J158">
        <v>55.6</v>
      </c>
      <c r="K158">
        <v>88</v>
      </c>
      <c r="L158">
        <v>4.0999999999999996</v>
      </c>
      <c r="M15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59" spans="1:13" x14ac:dyDescent="0.3">
      <c r="A159" t="s">
        <v>186</v>
      </c>
      <c r="B159">
        <v>22</v>
      </c>
      <c r="C159" t="s">
        <v>24</v>
      </c>
      <c r="D159" t="s">
        <v>17</v>
      </c>
      <c r="E159" t="s">
        <v>22</v>
      </c>
      <c r="F159">
        <v>9.69</v>
      </c>
      <c r="G159">
        <v>1.1599999999999999</v>
      </c>
      <c r="H159">
        <v>8.5299999999999994</v>
      </c>
      <c r="I159">
        <v>10</v>
      </c>
      <c r="J159">
        <v>45.5</v>
      </c>
      <c r="K159">
        <v>33</v>
      </c>
      <c r="L159">
        <v>10.5</v>
      </c>
      <c r="M15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0" spans="1:13" x14ac:dyDescent="0.3">
      <c r="A160" t="s">
        <v>187</v>
      </c>
      <c r="B160">
        <v>36</v>
      </c>
      <c r="C160" t="s">
        <v>16</v>
      </c>
      <c r="D160" t="s">
        <v>26</v>
      </c>
      <c r="E160" t="s">
        <v>22</v>
      </c>
      <c r="F160">
        <v>9.75</v>
      </c>
      <c r="G160">
        <v>0.49</v>
      </c>
      <c r="H160">
        <v>9.26</v>
      </c>
      <c r="I160">
        <v>10</v>
      </c>
      <c r="J160">
        <v>52.8</v>
      </c>
      <c r="K160">
        <v>291</v>
      </c>
      <c r="L160">
        <v>6.1</v>
      </c>
      <c r="M16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1" spans="1:13" x14ac:dyDescent="0.3">
      <c r="A161" t="s">
        <v>188</v>
      </c>
      <c r="B161">
        <v>39</v>
      </c>
      <c r="C161" t="s">
        <v>24</v>
      </c>
      <c r="D161" t="s">
        <v>31</v>
      </c>
      <c r="E161" t="s">
        <v>18</v>
      </c>
      <c r="F161">
        <v>12.67</v>
      </c>
      <c r="G161">
        <v>6.76</v>
      </c>
      <c r="H161">
        <v>5.91</v>
      </c>
      <c r="I161">
        <v>10</v>
      </c>
      <c r="J161">
        <v>43.7</v>
      </c>
      <c r="K161">
        <v>103</v>
      </c>
      <c r="L161">
        <v>2.4</v>
      </c>
      <c r="M16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2" spans="1:13" x14ac:dyDescent="0.3">
      <c r="A162" t="s">
        <v>189</v>
      </c>
      <c r="B162">
        <v>23</v>
      </c>
      <c r="C162" t="s">
        <v>16</v>
      </c>
      <c r="D162" t="s">
        <v>26</v>
      </c>
      <c r="E162" t="s">
        <v>18</v>
      </c>
      <c r="F162">
        <v>12.06</v>
      </c>
      <c r="G162">
        <v>6.27</v>
      </c>
      <c r="H162">
        <v>5.79</v>
      </c>
      <c r="I162">
        <v>10</v>
      </c>
      <c r="J162">
        <v>43.2</v>
      </c>
      <c r="K162">
        <v>23</v>
      </c>
      <c r="L162">
        <v>4.0999999999999996</v>
      </c>
      <c r="M16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3" spans="1:13" x14ac:dyDescent="0.3">
      <c r="A163" t="s">
        <v>190</v>
      </c>
      <c r="B163">
        <v>37</v>
      </c>
      <c r="C163" t="s">
        <v>16</v>
      </c>
      <c r="D163" t="s">
        <v>37</v>
      </c>
      <c r="E163" t="s">
        <v>18</v>
      </c>
      <c r="F163">
        <v>7.64</v>
      </c>
      <c r="G163">
        <v>3.89</v>
      </c>
      <c r="H163">
        <v>3.75</v>
      </c>
      <c r="I163">
        <v>5.0999999999999996</v>
      </c>
      <c r="J163">
        <v>70.099999999999994</v>
      </c>
      <c r="K163">
        <v>176</v>
      </c>
      <c r="L163">
        <v>13.7</v>
      </c>
      <c r="M16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4" spans="1:13" x14ac:dyDescent="0.3">
      <c r="A164" t="s">
        <v>191</v>
      </c>
      <c r="B164">
        <v>33</v>
      </c>
      <c r="C164" t="s">
        <v>16</v>
      </c>
      <c r="D164" t="s">
        <v>17</v>
      </c>
      <c r="E164" t="s">
        <v>22</v>
      </c>
      <c r="F164">
        <v>10.26</v>
      </c>
      <c r="G164">
        <v>1.07</v>
      </c>
      <c r="H164">
        <v>9.19</v>
      </c>
      <c r="I164">
        <v>10</v>
      </c>
      <c r="J164">
        <v>42.6</v>
      </c>
      <c r="K164">
        <v>152</v>
      </c>
      <c r="L164">
        <v>11.8</v>
      </c>
      <c r="M16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5" spans="1:13" x14ac:dyDescent="0.3">
      <c r="A165" t="s">
        <v>192</v>
      </c>
      <c r="B165">
        <v>36</v>
      </c>
      <c r="C165" t="s">
        <v>16</v>
      </c>
      <c r="D165" t="s">
        <v>17</v>
      </c>
      <c r="E165" t="s">
        <v>18</v>
      </c>
      <c r="F165">
        <v>5.57</v>
      </c>
      <c r="G165">
        <v>1.06</v>
      </c>
      <c r="H165">
        <v>4.51</v>
      </c>
      <c r="I165">
        <v>6.7</v>
      </c>
      <c r="J165">
        <v>73.2</v>
      </c>
      <c r="K165">
        <v>114</v>
      </c>
      <c r="L165">
        <v>15.4</v>
      </c>
      <c r="M16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6" spans="1:13" x14ac:dyDescent="0.3">
      <c r="A166" t="s">
        <v>193</v>
      </c>
      <c r="B166">
        <v>45</v>
      </c>
      <c r="C166" t="s">
        <v>16</v>
      </c>
      <c r="D166" t="s">
        <v>17</v>
      </c>
      <c r="E166" t="s">
        <v>18</v>
      </c>
      <c r="F166">
        <v>8.32</v>
      </c>
      <c r="G166">
        <v>2.99</v>
      </c>
      <c r="H166">
        <v>5.33</v>
      </c>
      <c r="I166">
        <v>8.3000000000000007</v>
      </c>
      <c r="J166">
        <v>49.6</v>
      </c>
      <c r="K166">
        <v>174</v>
      </c>
      <c r="L166">
        <v>10.1</v>
      </c>
      <c r="M16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7" spans="1:13" x14ac:dyDescent="0.3">
      <c r="A167" t="s">
        <v>194</v>
      </c>
      <c r="B167">
        <v>28</v>
      </c>
      <c r="C167" t="s">
        <v>16</v>
      </c>
      <c r="D167" t="s">
        <v>26</v>
      </c>
      <c r="E167" t="s">
        <v>22</v>
      </c>
      <c r="F167">
        <v>10.63</v>
      </c>
      <c r="G167">
        <v>1.0900000000000001</v>
      </c>
      <c r="H167">
        <v>9.5399999999999991</v>
      </c>
      <c r="I167">
        <v>6.9</v>
      </c>
      <c r="J167">
        <v>50.3</v>
      </c>
      <c r="K167">
        <v>35</v>
      </c>
      <c r="L167">
        <v>9.4</v>
      </c>
      <c r="M16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8" spans="1:13" x14ac:dyDescent="0.3">
      <c r="A168" t="s">
        <v>195</v>
      </c>
      <c r="B168">
        <v>23</v>
      </c>
      <c r="C168" t="s">
        <v>24</v>
      </c>
      <c r="D168" t="s">
        <v>26</v>
      </c>
      <c r="E168" t="s">
        <v>22</v>
      </c>
      <c r="F168">
        <v>11.09</v>
      </c>
      <c r="G168">
        <v>1.18</v>
      </c>
      <c r="H168">
        <v>9.91</v>
      </c>
      <c r="I168">
        <v>10</v>
      </c>
      <c r="J168">
        <v>44.2</v>
      </c>
      <c r="K168">
        <v>53</v>
      </c>
      <c r="L168">
        <v>5.5</v>
      </c>
      <c r="M16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69" spans="1:13" x14ac:dyDescent="0.3">
      <c r="A169" t="s">
        <v>196</v>
      </c>
      <c r="B169">
        <v>22</v>
      </c>
      <c r="C169" t="s">
        <v>16</v>
      </c>
      <c r="D169" t="s">
        <v>26</v>
      </c>
      <c r="E169" t="s">
        <v>22</v>
      </c>
      <c r="F169">
        <v>6.55</v>
      </c>
      <c r="G169">
        <v>0.33</v>
      </c>
      <c r="H169">
        <v>6.22</v>
      </c>
      <c r="I169">
        <v>8.6999999999999993</v>
      </c>
      <c r="J169">
        <v>61.2</v>
      </c>
      <c r="K169">
        <v>0</v>
      </c>
      <c r="L169">
        <v>2.6</v>
      </c>
      <c r="M16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0" spans="1:13" x14ac:dyDescent="0.3">
      <c r="A170" t="s">
        <v>197</v>
      </c>
      <c r="B170">
        <v>23</v>
      </c>
      <c r="C170" t="s">
        <v>24</v>
      </c>
      <c r="D170" t="s">
        <v>26</v>
      </c>
      <c r="E170" t="s">
        <v>18</v>
      </c>
      <c r="F170">
        <v>10.33</v>
      </c>
      <c r="G170">
        <v>4.76</v>
      </c>
      <c r="H170">
        <v>5.57</v>
      </c>
      <c r="I170">
        <v>7.9</v>
      </c>
      <c r="J170">
        <v>57.9</v>
      </c>
      <c r="K170">
        <v>0</v>
      </c>
      <c r="L170">
        <v>5.2</v>
      </c>
      <c r="M17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1" spans="1:13" x14ac:dyDescent="0.3">
      <c r="A171" t="s">
        <v>198</v>
      </c>
      <c r="B171">
        <v>29</v>
      </c>
      <c r="C171" t="s">
        <v>16</v>
      </c>
      <c r="D171" t="s">
        <v>17</v>
      </c>
      <c r="E171" t="s">
        <v>22</v>
      </c>
      <c r="F171">
        <v>9.98</v>
      </c>
      <c r="G171">
        <v>1.34</v>
      </c>
      <c r="H171">
        <v>8.64</v>
      </c>
      <c r="I171">
        <v>10</v>
      </c>
      <c r="J171">
        <v>35.5</v>
      </c>
      <c r="K171">
        <v>224</v>
      </c>
      <c r="L171">
        <v>10</v>
      </c>
      <c r="M17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2" spans="1:13" x14ac:dyDescent="0.3">
      <c r="A172" t="s">
        <v>199</v>
      </c>
      <c r="B172">
        <v>32</v>
      </c>
      <c r="C172" t="s">
        <v>16</v>
      </c>
      <c r="D172" t="s">
        <v>17</v>
      </c>
      <c r="E172" t="s">
        <v>20</v>
      </c>
      <c r="F172">
        <v>7.99</v>
      </c>
      <c r="G172">
        <v>0.4</v>
      </c>
      <c r="H172">
        <v>7.59</v>
      </c>
      <c r="I172">
        <v>9.1</v>
      </c>
      <c r="J172">
        <v>57.4</v>
      </c>
      <c r="K172">
        <v>226</v>
      </c>
      <c r="L172">
        <v>9.6</v>
      </c>
      <c r="M17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3" spans="1:13" x14ac:dyDescent="0.3">
      <c r="A173" t="s">
        <v>200</v>
      </c>
      <c r="B173">
        <v>32</v>
      </c>
      <c r="C173" t="s">
        <v>24</v>
      </c>
      <c r="D173" t="s">
        <v>26</v>
      </c>
      <c r="E173" t="s">
        <v>18</v>
      </c>
      <c r="F173">
        <v>11.22</v>
      </c>
      <c r="G173">
        <v>3.89</v>
      </c>
      <c r="H173">
        <v>7.33</v>
      </c>
      <c r="I173">
        <v>10</v>
      </c>
      <c r="J173">
        <v>39.299999999999997</v>
      </c>
      <c r="K173">
        <v>96</v>
      </c>
      <c r="L173">
        <v>7.2</v>
      </c>
      <c r="M17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4" spans="1:13" x14ac:dyDescent="0.3">
      <c r="A174" t="s">
        <v>201</v>
      </c>
      <c r="B174">
        <v>36</v>
      </c>
      <c r="C174" t="s">
        <v>16</v>
      </c>
      <c r="D174" t="s">
        <v>37</v>
      </c>
      <c r="E174" t="s">
        <v>22</v>
      </c>
      <c r="F174">
        <v>4.0999999999999996</v>
      </c>
      <c r="G174">
        <v>0.21</v>
      </c>
      <c r="H174">
        <v>3.89</v>
      </c>
      <c r="I174">
        <v>4.0999999999999996</v>
      </c>
      <c r="J174">
        <v>79.099999999999994</v>
      </c>
      <c r="K174">
        <v>253</v>
      </c>
      <c r="L174">
        <v>7.8</v>
      </c>
      <c r="M17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5" spans="1:13" x14ac:dyDescent="0.3">
      <c r="A175" t="s">
        <v>202</v>
      </c>
      <c r="B175">
        <v>30</v>
      </c>
      <c r="C175" t="s">
        <v>16</v>
      </c>
      <c r="D175" t="s">
        <v>29</v>
      </c>
      <c r="E175" t="s">
        <v>18</v>
      </c>
      <c r="F175">
        <v>10.48</v>
      </c>
      <c r="G175">
        <v>5.65</v>
      </c>
      <c r="H175">
        <v>4.83</v>
      </c>
      <c r="I175">
        <v>10</v>
      </c>
      <c r="J175">
        <v>36.799999999999997</v>
      </c>
      <c r="K175">
        <v>84</v>
      </c>
      <c r="L175">
        <v>23.9</v>
      </c>
      <c r="M17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6" spans="1:13" x14ac:dyDescent="0.3">
      <c r="A176" t="s">
        <v>203</v>
      </c>
      <c r="B176">
        <v>41</v>
      </c>
      <c r="C176" t="s">
        <v>16</v>
      </c>
      <c r="D176" t="s">
        <v>37</v>
      </c>
      <c r="E176" t="s">
        <v>18</v>
      </c>
      <c r="F176">
        <v>8.57</v>
      </c>
      <c r="G176">
        <v>1.57</v>
      </c>
      <c r="H176">
        <v>7</v>
      </c>
      <c r="I176">
        <v>8.3000000000000007</v>
      </c>
      <c r="J176">
        <v>52.8</v>
      </c>
      <c r="K176">
        <v>95</v>
      </c>
      <c r="L176">
        <v>10.7</v>
      </c>
      <c r="M17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7" spans="1:13" x14ac:dyDescent="0.3">
      <c r="A177" t="s">
        <v>204</v>
      </c>
      <c r="B177">
        <v>27</v>
      </c>
      <c r="C177" t="s">
        <v>16</v>
      </c>
      <c r="D177" t="s">
        <v>31</v>
      </c>
      <c r="E177" t="s">
        <v>18</v>
      </c>
      <c r="F177">
        <v>8.16</v>
      </c>
      <c r="G177">
        <v>2.48</v>
      </c>
      <c r="H177">
        <v>5.68</v>
      </c>
      <c r="I177">
        <v>6.3</v>
      </c>
      <c r="J177">
        <v>62.4</v>
      </c>
      <c r="K177">
        <v>111</v>
      </c>
      <c r="L177">
        <v>11.1</v>
      </c>
      <c r="M17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8" spans="1:13" x14ac:dyDescent="0.3">
      <c r="A178" t="s">
        <v>205</v>
      </c>
      <c r="B178">
        <v>51</v>
      </c>
      <c r="C178" t="s">
        <v>28</v>
      </c>
      <c r="D178" t="s">
        <v>26</v>
      </c>
      <c r="E178" t="s">
        <v>18</v>
      </c>
      <c r="F178">
        <v>16.36</v>
      </c>
      <c r="G178">
        <v>3.01</v>
      </c>
      <c r="H178">
        <v>13.35</v>
      </c>
      <c r="I178">
        <v>10</v>
      </c>
      <c r="J178">
        <v>24.6</v>
      </c>
      <c r="K178">
        <v>62</v>
      </c>
      <c r="L178">
        <v>5.5</v>
      </c>
      <c r="M17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79" spans="1:13" x14ac:dyDescent="0.3">
      <c r="A179" t="s">
        <v>206</v>
      </c>
      <c r="B179">
        <v>35</v>
      </c>
      <c r="C179" t="s">
        <v>16</v>
      </c>
      <c r="D179" t="s">
        <v>17</v>
      </c>
      <c r="E179" t="s">
        <v>22</v>
      </c>
      <c r="F179">
        <v>4.5599999999999996</v>
      </c>
      <c r="G179">
        <v>0.56999999999999995</v>
      </c>
      <c r="H179">
        <v>3.99</v>
      </c>
      <c r="I179">
        <v>6.3</v>
      </c>
      <c r="J179">
        <v>75.599999999999994</v>
      </c>
      <c r="K179">
        <v>118</v>
      </c>
      <c r="L179">
        <v>9.6</v>
      </c>
      <c r="M17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0" spans="1:13" x14ac:dyDescent="0.3">
      <c r="A180" t="s">
        <v>207</v>
      </c>
      <c r="B180">
        <v>23</v>
      </c>
      <c r="C180" t="s">
        <v>24</v>
      </c>
      <c r="D180" t="s">
        <v>17</v>
      </c>
      <c r="E180" t="s">
        <v>22</v>
      </c>
      <c r="F180">
        <v>9.8800000000000008</v>
      </c>
      <c r="G180">
        <v>1.74</v>
      </c>
      <c r="H180">
        <v>8.14</v>
      </c>
      <c r="I180">
        <v>10</v>
      </c>
      <c r="J180">
        <v>51.3</v>
      </c>
      <c r="K180">
        <v>175</v>
      </c>
      <c r="L180">
        <v>10.6</v>
      </c>
      <c r="M18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1" spans="1:13" x14ac:dyDescent="0.3">
      <c r="A181" t="s">
        <v>208</v>
      </c>
      <c r="B181">
        <v>21</v>
      </c>
      <c r="C181" t="s">
        <v>16</v>
      </c>
      <c r="D181" t="s">
        <v>17</v>
      </c>
      <c r="E181" t="s">
        <v>22</v>
      </c>
      <c r="F181">
        <v>7.35</v>
      </c>
      <c r="G181">
        <v>0.94</v>
      </c>
      <c r="H181">
        <v>6.41</v>
      </c>
      <c r="I181">
        <v>8</v>
      </c>
      <c r="J181">
        <v>53.9</v>
      </c>
      <c r="K181">
        <v>120</v>
      </c>
      <c r="L181">
        <v>10.199999999999999</v>
      </c>
      <c r="M18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2" spans="1:13" x14ac:dyDescent="0.3">
      <c r="A182" t="s">
        <v>209</v>
      </c>
      <c r="B182">
        <v>33</v>
      </c>
      <c r="C182" t="s">
        <v>24</v>
      </c>
      <c r="D182" t="s">
        <v>26</v>
      </c>
      <c r="E182" t="s">
        <v>20</v>
      </c>
      <c r="F182">
        <v>6.92</v>
      </c>
      <c r="G182">
        <v>0.5</v>
      </c>
      <c r="H182">
        <v>6.42</v>
      </c>
      <c r="I182">
        <v>5.7</v>
      </c>
      <c r="J182">
        <v>79</v>
      </c>
      <c r="K182">
        <v>168</v>
      </c>
      <c r="L182">
        <v>0</v>
      </c>
      <c r="M18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3" spans="1:13" x14ac:dyDescent="0.3">
      <c r="A183" t="s">
        <v>210</v>
      </c>
      <c r="B183">
        <v>28</v>
      </c>
      <c r="C183" t="s">
        <v>24</v>
      </c>
      <c r="D183" t="s">
        <v>29</v>
      </c>
      <c r="E183" t="s">
        <v>20</v>
      </c>
      <c r="F183">
        <v>7.05</v>
      </c>
      <c r="G183">
        <v>0.35</v>
      </c>
      <c r="H183">
        <v>6.7</v>
      </c>
      <c r="I183">
        <v>6.8</v>
      </c>
      <c r="J183">
        <v>59.1</v>
      </c>
      <c r="K183">
        <v>187</v>
      </c>
      <c r="L183">
        <v>0</v>
      </c>
      <c r="M18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4" spans="1:13" x14ac:dyDescent="0.3">
      <c r="A184" t="s">
        <v>211</v>
      </c>
      <c r="B184">
        <v>35</v>
      </c>
      <c r="C184" t="s">
        <v>24</v>
      </c>
      <c r="D184" t="s">
        <v>26</v>
      </c>
      <c r="E184" t="s">
        <v>22</v>
      </c>
      <c r="F184">
        <v>12.92</v>
      </c>
      <c r="G184">
        <v>2.5099999999999998</v>
      </c>
      <c r="H184">
        <v>10.41</v>
      </c>
      <c r="I184">
        <v>10</v>
      </c>
      <c r="J184">
        <v>43.7</v>
      </c>
      <c r="K184">
        <v>110</v>
      </c>
      <c r="L184">
        <v>1.8</v>
      </c>
      <c r="M18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5" spans="1:13" x14ac:dyDescent="0.3">
      <c r="A185" t="s">
        <v>212</v>
      </c>
      <c r="B185">
        <v>33</v>
      </c>
      <c r="C185" t="s">
        <v>16</v>
      </c>
      <c r="D185" t="s">
        <v>26</v>
      </c>
      <c r="E185" t="s">
        <v>20</v>
      </c>
      <c r="F185">
        <v>11.06</v>
      </c>
      <c r="G185">
        <v>2.88</v>
      </c>
      <c r="H185">
        <v>8.18</v>
      </c>
      <c r="I185">
        <v>10</v>
      </c>
      <c r="J185">
        <v>28.1</v>
      </c>
      <c r="K185">
        <v>25</v>
      </c>
      <c r="L185">
        <v>7.4</v>
      </c>
      <c r="M18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6" spans="1:13" x14ac:dyDescent="0.3">
      <c r="A186" t="s">
        <v>213</v>
      </c>
      <c r="B186">
        <v>29</v>
      </c>
      <c r="C186" t="s">
        <v>16</v>
      </c>
      <c r="D186" t="s">
        <v>17</v>
      </c>
      <c r="E186" t="s">
        <v>18</v>
      </c>
      <c r="F186">
        <v>10.75</v>
      </c>
      <c r="G186">
        <v>6.43</v>
      </c>
      <c r="H186">
        <v>4.32</v>
      </c>
      <c r="I186">
        <v>7.4</v>
      </c>
      <c r="J186">
        <v>66.8</v>
      </c>
      <c r="K186">
        <v>0</v>
      </c>
      <c r="L186">
        <v>7.8</v>
      </c>
      <c r="M18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7" spans="1:13" x14ac:dyDescent="0.3">
      <c r="A187" t="s">
        <v>214</v>
      </c>
      <c r="B187">
        <v>23</v>
      </c>
      <c r="C187" t="s">
        <v>16</v>
      </c>
      <c r="D187" t="s">
        <v>17</v>
      </c>
      <c r="E187" t="s">
        <v>18</v>
      </c>
      <c r="F187">
        <v>12.27</v>
      </c>
      <c r="G187">
        <v>6.71</v>
      </c>
      <c r="H187">
        <v>5.56</v>
      </c>
      <c r="I187">
        <v>10</v>
      </c>
      <c r="J187">
        <v>48.6</v>
      </c>
      <c r="K187">
        <v>91</v>
      </c>
      <c r="L187">
        <v>12.5</v>
      </c>
      <c r="M18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8" spans="1:13" x14ac:dyDescent="0.3">
      <c r="A188" t="s">
        <v>215</v>
      </c>
      <c r="B188">
        <v>17</v>
      </c>
      <c r="C188" t="s">
        <v>24</v>
      </c>
      <c r="D188" t="s">
        <v>17</v>
      </c>
      <c r="E188" t="s">
        <v>18</v>
      </c>
      <c r="F188">
        <v>13.51</v>
      </c>
      <c r="G188">
        <v>2.0299999999999998</v>
      </c>
      <c r="H188">
        <v>11.48</v>
      </c>
      <c r="I188">
        <v>10</v>
      </c>
      <c r="J188">
        <v>36</v>
      </c>
      <c r="K188">
        <v>58</v>
      </c>
      <c r="L188">
        <v>0</v>
      </c>
      <c r="M18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89" spans="1:13" x14ac:dyDescent="0.3">
      <c r="A189" t="s">
        <v>216</v>
      </c>
      <c r="B189">
        <v>26</v>
      </c>
      <c r="C189" t="s">
        <v>24</v>
      </c>
      <c r="D189" t="s">
        <v>26</v>
      </c>
      <c r="E189" t="s">
        <v>22</v>
      </c>
      <c r="F189">
        <v>10.19</v>
      </c>
      <c r="G189">
        <v>0.84</v>
      </c>
      <c r="H189">
        <v>9.35</v>
      </c>
      <c r="I189">
        <v>10</v>
      </c>
      <c r="J189">
        <v>30.9</v>
      </c>
      <c r="K189">
        <v>101</v>
      </c>
      <c r="L189">
        <v>3.4</v>
      </c>
      <c r="M18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0" spans="1:13" x14ac:dyDescent="0.3">
      <c r="A190" t="s">
        <v>217</v>
      </c>
      <c r="B190">
        <v>36</v>
      </c>
      <c r="C190" t="s">
        <v>24</v>
      </c>
      <c r="D190" t="s">
        <v>29</v>
      </c>
      <c r="E190" t="s">
        <v>20</v>
      </c>
      <c r="F190">
        <v>7.02</v>
      </c>
      <c r="G190">
        <v>0.71</v>
      </c>
      <c r="H190">
        <v>6.31</v>
      </c>
      <c r="I190">
        <v>6.4</v>
      </c>
      <c r="J190">
        <v>69.599999999999994</v>
      </c>
      <c r="K190">
        <v>118</v>
      </c>
      <c r="L190">
        <v>15.6</v>
      </c>
      <c r="M19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1" spans="1:13" x14ac:dyDescent="0.3">
      <c r="A191" t="s">
        <v>218</v>
      </c>
      <c r="B191">
        <v>31</v>
      </c>
      <c r="C191" t="s">
        <v>16</v>
      </c>
      <c r="D191" t="s">
        <v>17</v>
      </c>
      <c r="E191" t="s">
        <v>18</v>
      </c>
      <c r="F191">
        <v>7.34</v>
      </c>
      <c r="G191">
        <v>2.2400000000000002</v>
      </c>
      <c r="H191">
        <v>5.0999999999999996</v>
      </c>
      <c r="I191">
        <v>9.1</v>
      </c>
      <c r="J191">
        <v>41.9</v>
      </c>
      <c r="K191">
        <v>295</v>
      </c>
      <c r="L191">
        <v>9.4</v>
      </c>
      <c r="M19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2" spans="1:13" x14ac:dyDescent="0.3">
      <c r="A192" t="s">
        <v>219</v>
      </c>
      <c r="B192">
        <v>20</v>
      </c>
      <c r="C192" t="s">
        <v>24</v>
      </c>
      <c r="D192" t="s">
        <v>26</v>
      </c>
      <c r="E192" t="s">
        <v>20</v>
      </c>
      <c r="F192">
        <v>10.4</v>
      </c>
      <c r="G192">
        <v>0.54</v>
      </c>
      <c r="H192">
        <v>9.86</v>
      </c>
      <c r="I192">
        <v>10</v>
      </c>
      <c r="J192">
        <v>45.1</v>
      </c>
      <c r="K192">
        <v>0</v>
      </c>
      <c r="L192">
        <v>10.7</v>
      </c>
      <c r="M19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3" spans="1:13" x14ac:dyDescent="0.3">
      <c r="A193" t="s">
        <v>220</v>
      </c>
      <c r="B193">
        <v>31</v>
      </c>
      <c r="C193" t="s">
        <v>24</v>
      </c>
      <c r="D193" t="s">
        <v>29</v>
      </c>
      <c r="E193" t="s">
        <v>18</v>
      </c>
      <c r="F193">
        <v>10.82</v>
      </c>
      <c r="G193">
        <v>4.01</v>
      </c>
      <c r="H193">
        <v>6.81</v>
      </c>
      <c r="I193">
        <v>10</v>
      </c>
      <c r="J193">
        <v>50.2</v>
      </c>
      <c r="K193">
        <v>0</v>
      </c>
      <c r="L193">
        <v>16.3</v>
      </c>
      <c r="M19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4" spans="1:13" x14ac:dyDescent="0.3">
      <c r="A194" t="s">
        <v>221</v>
      </c>
      <c r="B194">
        <v>33</v>
      </c>
      <c r="C194" t="s">
        <v>16</v>
      </c>
      <c r="D194" t="s">
        <v>37</v>
      </c>
      <c r="E194" t="s">
        <v>20</v>
      </c>
      <c r="F194">
        <v>5.85</v>
      </c>
      <c r="G194">
        <v>0.57999999999999996</v>
      </c>
      <c r="H194">
        <v>5.27</v>
      </c>
      <c r="I194">
        <v>7.4</v>
      </c>
      <c r="J194">
        <v>54</v>
      </c>
      <c r="K194">
        <v>148</v>
      </c>
      <c r="L194">
        <v>2</v>
      </c>
      <c r="M19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5" spans="1:13" x14ac:dyDescent="0.3">
      <c r="A195" t="s">
        <v>222</v>
      </c>
      <c r="B195">
        <v>22</v>
      </c>
      <c r="C195" t="s">
        <v>16</v>
      </c>
      <c r="D195" t="s">
        <v>29</v>
      </c>
      <c r="E195" t="s">
        <v>18</v>
      </c>
      <c r="F195">
        <v>10.95</v>
      </c>
      <c r="G195">
        <v>2.64</v>
      </c>
      <c r="H195">
        <v>8.31</v>
      </c>
      <c r="I195">
        <v>10</v>
      </c>
      <c r="J195">
        <v>48.3</v>
      </c>
      <c r="K195">
        <v>62</v>
      </c>
      <c r="L195">
        <v>5.8</v>
      </c>
      <c r="M19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6" spans="1:13" x14ac:dyDescent="0.3">
      <c r="A196" t="s">
        <v>223</v>
      </c>
      <c r="B196">
        <v>31</v>
      </c>
      <c r="C196" t="s">
        <v>24</v>
      </c>
      <c r="D196" t="s">
        <v>29</v>
      </c>
      <c r="E196" t="s">
        <v>18</v>
      </c>
      <c r="F196">
        <v>8.08</v>
      </c>
      <c r="G196">
        <v>3.75</v>
      </c>
      <c r="H196">
        <v>4.33</v>
      </c>
      <c r="I196">
        <v>7</v>
      </c>
      <c r="J196">
        <v>62.7</v>
      </c>
      <c r="K196">
        <v>132</v>
      </c>
      <c r="L196">
        <v>5.6</v>
      </c>
      <c r="M19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7" spans="1:13" x14ac:dyDescent="0.3">
      <c r="A197" t="s">
        <v>224</v>
      </c>
      <c r="B197">
        <v>30</v>
      </c>
      <c r="C197" t="s">
        <v>24</v>
      </c>
      <c r="D197" t="s">
        <v>17</v>
      </c>
      <c r="E197" t="s">
        <v>22</v>
      </c>
      <c r="F197">
        <v>11.65</v>
      </c>
      <c r="G197">
        <v>0.57999999999999996</v>
      </c>
      <c r="H197">
        <v>11.07</v>
      </c>
      <c r="I197">
        <v>10</v>
      </c>
      <c r="J197">
        <v>46.4</v>
      </c>
      <c r="K197">
        <v>129</v>
      </c>
      <c r="L197">
        <v>0</v>
      </c>
      <c r="M19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8" spans="1:13" x14ac:dyDescent="0.3">
      <c r="A198" t="s">
        <v>225</v>
      </c>
      <c r="B198">
        <v>20</v>
      </c>
      <c r="C198" t="s">
        <v>24</v>
      </c>
      <c r="D198" t="s">
        <v>17</v>
      </c>
      <c r="E198" t="s">
        <v>22</v>
      </c>
      <c r="F198">
        <v>8.93</v>
      </c>
      <c r="G198">
        <v>1.62</v>
      </c>
      <c r="H198">
        <v>7.31</v>
      </c>
      <c r="I198">
        <v>10</v>
      </c>
      <c r="J198">
        <v>44.7</v>
      </c>
      <c r="K198">
        <v>189</v>
      </c>
      <c r="L198">
        <v>6.9</v>
      </c>
      <c r="M19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199" spans="1:13" x14ac:dyDescent="0.3">
      <c r="A199" t="s">
        <v>226</v>
      </c>
      <c r="B199">
        <v>32</v>
      </c>
      <c r="C199" t="s">
        <v>16</v>
      </c>
      <c r="D199" t="s">
        <v>26</v>
      </c>
      <c r="E199" t="s">
        <v>18</v>
      </c>
      <c r="F199">
        <v>11.79</v>
      </c>
      <c r="G199">
        <v>7.06</v>
      </c>
      <c r="H199">
        <v>4.7300000000000004</v>
      </c>
      <c r="I199">
        <v>10</v>
      </c>
      <c r="J199">
        <v>31.8</v>
      </c>
      <c r="K199">
        <v>0</v>
      </c>
      <c r="L199">
        <v>12.2</v>
      </c>
      <c r="M19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0" spans="1:13" x14ac:dyDescent="0.3">
      <c r="A200" t="s">
        <v>227</v>
      </c>
      <c r="B200">
        <v>34</v>
      </c>
      <c r="C200" t="s">
        <v>24</v>
      </c>
      <c r="D200" t="s">
        <v>17</v>
      </c>
      <c r="E200" t="s">
        <v>22</v>
      </c>
      <c r="F200">
        <v>6.09</v>
      </c>
      <c r="G200">
        <v>0.59</v>
      </c>
      <c r="H200">
        <v>5.5</v>
      </c>
      <c r="I200">
        <v>8.5</v>
      </c>
      <c r="J200">
        <v>66.7</v>
      </c>
      <c r="K200">
        <v>84</v>
      </c>
      <c r="L200">
        <v>11.9</v>
      </c>
      <c r="M20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1" spans="1:13" x14ac:dyDescent="0.3">
      <c r="A201" t="s">
        <v>228</v>
      </c>
      <c r="B201">
        <v>38</v>
      </c>
      <c r="C201" t="s">
        <v>16</v>
      </c>
      <c r="D201" t="s">
        <v>17</v>
      </c>
      <c r="E201" t="s">
        <v>20</v>
      </c>
      <c r="F201">
        <v>8.64</v>
      </c>
      <c r="G201">
        <v>1.1499999999999999</v>
      </c>
      <c r="H201">
        <v>7.49</v>
      </c>
      <c r="I201">
        <v>6.6</v>
      </c>
      <c r="J201">
        <v>57</v>
      </c>
      <c r="K201">
        <v>140</v>
      </c>
      <c r="L201">
        <v>12.8</v>
      </c>
      <c r="M20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2" spans="1:13" x14ac:dyDescent="0.3">
      <c r="A202" t="s">
        <v>229</v>
      </c>
      <c r="B202">
        <v>38</v>
      </c>
      <c r="C202" t="s">
        <v>16</v>
      </c>
      <c r="D202" t="s">
        <v>17</v>
      </c>
      <c r="E202" t="s">
        <v>22</v>
      </c>
      <c r="F202">
        <v>7.71</v>
      </c>
      <c r="G202">
        <v>0.87</v>
      </c>
      <c r="H202">
        <v>6.84</v>
      </c>
      <c r="I202">
        <v>6.4</v>
      </c>
      <c r="J202">
        <v>52.5</v>
      </c>
      <c r="K202">
        <v>170</v>
      </c>
      <c r="L202">
        <v>7.4</v>
      </c>
      <c r="M20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3" spans="1:13" x14ac:dyDescent="0.3">
      <c r="A203" t="s">
        <v>230</v>
      </c>
      <c r="B203">
        <v>18</v>
      </c>
      <c r="C203" t="s">
        <v>16</v>
      </c>
      <c r="D203" t="s">
        <v>17</v>
      </c>
      <c r="E203" t="s">
        <v>22</v>
      </c>
      <c r="F203">
        <v>10.68</v>
      </c>
      <c r="G203">
        <v>0.88</v>
      </c>
      <c r="H203">
        <v>9.8000000000000007</v>
      </c>
      <c r="I203">
        <v>10</v>
      </c>
      <c r="J203">
        <v>50.1</v>
      </c>
      <c r="K203">
        <v>241</v>
      </c>
      <c r="L203">
        <v>3.1</v>
      </c>
      <c r="M20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4" spans="1:13" x14ac:dyDescent="0.3">
      <c r="A204" t="s">
        <v>231</v>
      </c>
      <c r="B204">
        <v>22</v>
      </c>
      <c r="C204" t="s">
        <v>24</v>
      </c>
      <c r="D204" t="s">
        <v>17</v>
      </c>
      <c r="E204" t="s">
        <v>22</v>
      </c>
      <c r="F204">
        <v>8.73</v>
      </c>
      <c r="G204">
        <v>0.65</v>
      </c>
      <c r="H204">
        <v>8.08</v>
      </c>
      <c r="I204">
        <v>9.4</v>
      </c>
      <c r="J204">
        <v>59.9</v>
      </c>
      <c r="K204">
        <v>169</v>
      </c>
      <c r="L204">
        <v>13.1</v>
      </c>
      <c r="M20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5" spans="1:13" x14ac:dyDescent="0.3">
      <c r="A205" t="s">
        <v>232</v>
      </c>
      <c r="B205">
        <v>34</v>
      </c>
      <c r="C205" t="s">
        <v>24</v>
      </c>
      <c r="D205" t="s">
        <v>26</v>
      </c>
      <c r="E205" t="s">
        <v>22</v>
      </c>
      <c r="F205">
        <v>7.3</v>
      </c>
      <c r="G205">
        <v>0.72</v>
      </c>
      <c r="H205">
        <v>6.58</v>
      </c>
      <c r="I205">
        <v>9.8000000000000007</v>
      </c>
      <c r="J205">
        <v>47.6</v>
      </c>
      <c r="K205">
        <v>112</v>
      </c>
      <c r="L205">
        <v>6.4</v>
      </c>
      <c r="M20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6" spans="1:13" x14ac:dyDescent="0.3">
      <c r="A206" t="s">
        <v>233</v>
      </c>
      <c r="B206">
        <v>34</v>
      </c>
      <c r="C206" t="s">
        <v>24</v>
      </c>
      <c r="D206" t="s">
        <v>26</v>
      </c>
      <c r="E206" t="s">
        <v>18</v>
      </c>
      <c r="F206">
        <v>10.89</v>
      </c>
      <c r="G206">
        <v>7.48</v>
      </c>
      <c r="H206">
        <v>3.41</v>
      </c>
      <c r="I206">
        <v>10</v>
      </c>
      <c r="J206">
        <v>54.6</v>
      </c>
      <c r="K206">
        <v>32</v>
      </c>
      <c r="L206">
        <v>9.5</v>
      </c>
      <c r="M20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7" spans="1:13" x14ac:dyDescent="0.3">
      <c r="A207" t="s">
        <v>234</v>
      </c>
      <c r="B207">
        <v>34</v>
      </c>
      <c r="C207" t="s">
        <v>16</v>
      </c>
      <c r="D207" t="s">
        <v>17</v>
      </c>
      <c r="E207" t="s">
        <v>22</v>
      </c>
      <c r="F207">
        <v>11.14</v>
      </c>
      <c r="G207">
        <v>1.56</v>
      </c>
      <c r="H207">
        <v>9.58</v>
      </c>
      <c r="I207">
        <v>9.6</v>
      </c>
      <c r="J207">
        <v>43.4</v>
      </c>
      <c r="K207">
        <v>54</v>
      </c>
      <c r="L207">
        <v>10.4</v>
      </c>
      <c r="M20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8" spans="1:13" x14ac:dyDescent="0.3">
      <c r="A208" t="s">
        <v>235</v>
      </c>
      <c r="B208">
        <v>60</v>
      </c>
      <c r="C208" t="s">
        <v>24</v>
      </c>
      <c r="D208" t="s">
        <v>26</v>
      </c>
      <c r="E208" t="s">
        <v>18</v>
      </c>
      <c r="F208">
        <v>12.56</v>
      </c>
      <c r="G208">
        <v>2.93</v>
      </c>
      <c r="H208">
        <v>9.6300000000000008</v>
      </c>
      <c r="I208">
        <v>10</v>
      </c>
      <c r="J208">
        <v>36.9</v>
      </c>
      <c r="K208">
        <v>56</v>
      </c>
      <c r="L208">
        <v>15.9</v>
      </c>
      <c r="M20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09" spans="1:13" x14ac:dyDescent="0.3">
      <c r="A209" t="s">
        <v>236</v>
      </c>
      <c r="B209">
        <v>34</v>
      </c>
      <c r="C209" t="s">
        <v>16</v>
      </c>
      <c r="D209" t="s">
        <v>29</v>
      </c>
      <c r="E209" t="s">
        <v>18</v>
      </c>
      <c r="F209">
        <v>11.96</v>
      </c>
      <c r="G209">
        <v>6.74</v>
      </c>
      <c r="H209">
        <v>5.22</v>
      </c>
      <c r="I209">
        <v>9.3000000000000007</v>
      </c>
      <c r="J209">
        <v>39.1</v>
      </c>
      <c r="K209">
        <v>134</v>
      </c>
      <c r="L209">
        <v>10.199999999999999</v>
      </c>
      <c r="M20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0" spans="1:13" x14ac:dyDescent="0.3">
      <c r="A210" t="s">
        <v>237</v>
      </c>
      <c r="B210">
        <v>39</v>
      </c>
      <c r="C210" t="s">
        <v>24</v>
      </c>
      <c r="D210" t="s">
        <v>17</v>
      </c>
      <c r="E210" t="s">
        <v>22</v>
      </c>
      <c r="F210">
        <v>11.15</v>
      </c>
      <c r="G210">
        <v>0.56000000000000005</v>
      </c>
      <c r="H210">
        <v>10.59</v>
      </c>
      <c r="I210">
        <v>9.1999999999999993</v>
      </c>
      <c r="J210">
        <v>54.3</v>
      </c>
      <c r="K210">
        <v>114</v>
      </c>
      <c r="L210">
        <v>0.1</v>
      </c>
      <c r="M21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1" spans="1:13" x14ac:dyDescent="0.3">
      <c r="A211" t="s">
        <v>238</v>
      </c>
      <c r="B211">
        <v>37</v>
      </c>
      <c r="C211" t="s">
        <v>16</v>
      </c>
      <c r="D211" t="s">
        <v>17</v>
      </c>
      <c r="E211" t="s">
        <v>18</v>
      </c>
      <c r="F211">
        <v>5.28</v>
      </c>
      <c r="G211">
        <v>3.59</v>
      </c>
      <c r="H211">
        <v>1.69</v>
      </c>
      <c r="I211">
        <v>6.5</v>
      </c>
      <c r="J211">
        <v>65.400000000000006</v>
      </c>
      <c r="K211">
        <v>37</v>
      </c>
      <c r="L211">
        <v>4.5</v>
      </c>
      <c r="M21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2" spans="1:13" x14ac:dyDescent="0.3">
      <c r="A212" t="s">
        <v>239</v>
      </c>
      <c r="B212">
        <v>35</v>
      </c>
      <c r="C212" t="s">
        <v>16</v>
      </c>
      <c r="D212" t="s">
        <v>17</v>
      </c>
      <c r="E212" t="s">
        <v>22</v>
      </c>
      <c r="F212">
        <v>7.32</v>
      </c>
      <c r="G212">
        <v>1.08</v>
      </c>
      <c r="H212">
        <v>6.24</v>
      </c>
      <c r="I212">
        <v>9.1999999999999993</v>
      </c>
      <c r="J212">
        <v>54.6</v>
      </c>
      <c r="K212">
        <v>86</v>
      </c>
      <c r="L212">
        <v>13.3</v>
      </c>
      <c r="M21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3" spans="1:13" x14ac:dyDescent="0.3">
      <c r="A213" t="s">
        <v>240</v>
      </c>
      <c r="B213">
        <v>27</v>
      </c>
      <c r="C213" t="s">
        <v>16</v>
      </c>
      <c r="D213" t="s">
        <v>29</v>
      </c>
      <c r="E213" t="s">
        <v>22</v>
      </c>
      <c r="F213">
        <v>9.39</v>
      </c>
      <c r="G213">
        <v>0.47</v>
      </c>
      <c r="H213">
        <v>8.92</v>
      </c>
      <c r="I213">
        <v>10</v>
      </c>
      <c r="J213">
        <v>40.6</v>
      </c>
      <c r="K213">
        <v>162</v>
      </c>
      <c r="L213">
        <v>9</v>
      </c>
      <c r="M21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4" spans="1:13" x14ac:dyDescent="0.3">
      <c r="A214" t="s">
        <v>241</v>
      </c>
      <c r="B214">
        <v>36</v>
      </c>
      <c r="C214" t="s">
        <v>16</v>
      </c>
      <c r="D214" t="s">
        <v>17</v>
      </c>
      <c r="E214" t="s">
        <v>18</v>
      </c>
      <c r="F214">
        <v>11.12</v>
      </c>
      <c r="G214">
        <v>4.7</v>
      </c>
      <c r="H214">
        <v>6.42</v>
      </c>
      <c r="I214">
        <v>8.3000000000000007</v>
      </c>
      <c r="J214">
        <v>45.4</v>
      </c>
      <c r="K214">
        <v>119</v>
      </c>
      <c r="L214">
        <v>4.3</v>
      </c>
      <c r="M21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5" spans="1:13" x14ac:dyDescent="0.3">
      <c r="A215" t="s">
        <v>243</v>
      </c>
      <c r="B215">
        <v>28</v>
      </c>
      <c r="C215" t="s">
        <v>16</v>
      </c>
      <c r="D215" t="s">
        <v>17</v>
      </c>
      <c r="E215" t="s">
        <v>22</v>
      </c>
      <c r="F215">
        <v>15.38</v>
      </c>
      <c r="G215">
        <v>2.09</v>
      </c>
      <c r="H215">
        <v>13.29</v>
      </c>
      <c r="I215">
        <v>10</v>
      </c>
      <c r="J215">
        <v>32.6</v>
      </c>
      <c r="K215">
        <v>92</v>
      </c>
      <c r="L215">
        <v>4</v>
      </c>
      <c r="M21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6" spans="1:13" x14ac:dyDescent="0.3">
      <c r="A216" t="s">
        <v>244</v>
      </c>
      <c r="B216">
        <v>26</v>
      </c>
      <c r="C216" t="s">
        <v>16</v>
      </c>
      <c r="D216" t="s">
        <v>17</v>
      </c>
      <c r="E216" t="s">
        <v>20</v>
      </c>
      <c r="F216">
        <v>11.64</v>
      </c>
      <c r="G216">
        <v>0.68</v>
      </c>
      <c r="H216">
        <v>10.96</v>
      </c>
      <c r="I216">
        <v>10</v>
      </c>
      <c r="J216">
        <v>38.1</v>
      </c>
      <c r="K216">
        <v>200</v>
      </c>
      <c r="L216">
        <v>7.4</v>
      </c>
      <c r="M21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7" spans="1:13" x14ac:dyDescent="0.3">
      <c r="A217" t="s">
        <v>245</v>
      </c>
      <c r="B217">
        <v>30</v>
      </c>
      <c r="C217" t="s">
        <v>24</v>
      </c>
      <c r="D217" t="s">
        <v>29</v>
      </c>
      <c r="E217" t="s">
        <v>22</v>
      </c>
      <c r="F217">
        <v>9.1300000000000008</v>
      </c>
      <c r="G217">
        <v>0.98</v>
      </c>
      <c r="H217">
        <v>8.15</v>
      </c>
      <c r="I217">
        <v>8.4</v>
      </c>
      <c r="J217">
        <v>57.5</v>
      </c>
      <c r="K217">
        <v>120</v>
      </c>
      <c r="L217">
        <v>12.1</v>
      </c>
      <c r="M21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8" spans="1:13" x14ac:dyDescent="0.3">
      <c r="A218" t="s">
        <v>246</v>
      </c>
      <c r="B218">
        <v>48</v>
      </c>
      <c r="C218" t="s">
        <v>16</v>
      </c>
      <c r="D218" t="s">
        <v>17</v>
      </c>
      <c r="E218" t="s">
        <v>20</v>
      </c>
      <c r="F218">
        <v>7.48</v>
      </c>
      <c r="G218">
        <v>0.48</v>
      </c>
      <c r="H218">
        <v>7</v>
      </c>
      <c r="I218">
        <v>6.4</v>
      </c>
      <c r="J218">
        <v>70.8</v>
      </c>
      <c r="K218">
        <v>95</v>
      </c>
      <c r="L218">
        <v>4.0999999999999996</v>
      </c>
      <c r="M21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19" spans="1:13" x14ac:dyDescent="0.3">
      <c r="A219" t="s">
        <v>247</v>
      </c>
      <c r="B219">
        <v>16</v>
      </c>
      <c r="C219" t="s">
        <v>24</v>
      </c>
      <c r="D219" t="s">
        <v>17</v>
      </c>
      <c r="E219" t="s">
        <v>22</v>
      </c>
      <c r="F219">
        <v>10.029999999999999</v>
      </c>
      <c r="G219">
        <v>1.22</v>
      </c>
      <c r="H219">
        <v>8.81</v>
      </c>
      <c r="I219">
        <v>10</v>
      </c>
      <c r="J219">
        <v>46.8</v>
      </c>
      <c r="K219">
        <v>27</v>
      </c>
      <c r="L219">
        <v>15.1</v>
      </c>
      <c r="M21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0" spans="1:13" x14ac:dyDescent="0.3">
      <c r="A220" t="s">
        <v>248</v>
      </c>
      <c r="B220">
        <v>35</v>
      </c>
      <c r="C220" t="s">
        <v>24</v>
      </c>
      <c r="D220" t="s">
        <v>29</v>
      </c>
      <c r="E220" t="s">
        <v>18</v>
      </c>
      <c r="F220">
        <v>5.5</v>
      </c>
      <c r="G220">
        <v>1.97</v>
      </c>
      <c r="H220">
        <v>3.53</v>
      </c>
      <c r="I220">
        <v>5.4</v>
      </c>
      <c r="J220">
        <v>64.2</v>
      </c>
      <c r="K220">
        <v>145</v>
      </c>
      <c r="L220">
        <v>6.3</v>
      </c>
      <c r="M22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1" spans="1:13" x14ac:dyDescent="0.3">
      <c r="A221" t="s">
        <v>249</v>
      </c>
      <c r="B221">
        <v>17</v>
      </c>
      <c r="C221" t="s">
        <v>24</v>
      </c>
      <c r="D221" t="s">
        <v>29</v>
      </c>
      <c r="E221" t="s">
        <v>22</v>
      </c>
      <c r="F221">
        <v>9.5299999999999994</v>
      </c>
      <c r="G221">
        <v>2.23</v>
      </c>
      <c r="H221">
        <v>7.3</v>
      </c>
      <c r="I221">
        <v>10</v>
      </c>
      <c r="J221">
        <v>46.6</v>
      </c>
      <c r="K221">
        <v>0</v>
      </c>
      <c r="L221">
        <v>8.4</v>
      </c>
      <c r="M22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2" spans="1:13" x14ac:dyDescent="0.3">
      <c r="A222" t="s">
        <v>250</v>
      </c>
      <c r="B222">
        <v>26</v>
      </c>
      <c r="C222" t="s">
        <v>16</v>
      </c>
      <c r="D222" t="s">
        <v>17</v>
      </c>
      <c r="E222" t="s">
        <v>20</v>
      </c>
      <c r="F222">
        <v>8.16</v>
      </c>
      <c r="G222">
        <v>0.92</v>
      </c>
      <c r="H222">
        <v>7.24</v>
      </c>
      <c r="I222">
        <v>7.4</v>
      </c>
      <c r="J222">
        <v>56.6</v>
      </c>
      <c r="K222">
        <v>94</v>
      </c>
      <c r="L222">
        <v>17.3</v>
      </c>
      <c r="M22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3" spans="1:13" x14ac:dyDescent="0.3">
      <c r="A223" t="s">
        <v>251</v>
      </c>
      <c r="B223">
        <v>38</v>
      </c>
      <c r="C223" t="s">
        <v>24</v>
      </c>
      <c r="D223" t="s">
        <v>29</v>
      </c>
      <c r="E223" t="s">
        <v>22</v>
      </c>
      <c r="F223">
        <v>9.32</v>
      </c>
      <c r="G223">
        <v>0.8</v>
      </c>
      <c r="H223">
        <v>8.52</v>
      </c>
      <c r="I223">
        <v>7.4</v>
      </c>
      <c r="J223">
        <v>56.3</v>
      </c>
      <c r="K223">
        <v>92</v>
      </c>
      <c r="L223">
        <v>0</v>
      </c>
      <c r="M22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4" spans="1:13" x14ac:dyDescent="0.3">
      <c r="A224" t="s">
        <v>252</v>
      </c>
      <c r="B224">
        <v>30</v>
      </c>
      <c r="C224" t="s">
        <v>24</v>
      </c>
      <c r="D224" t="s">
        <v>17</v>
      </c>
      <c r="E224" t="s">
        <v>20</v>
      </c>
      <c r="F224">
        <v>7.42</v>
      </c>
      <c r="G224">
        <v>1.06</v>
      </c>
      <c r="H224">
        <v>6.36</v>
      </c>
      <c r="I224">
        <v>3.5</v>
      </c>
      <c r="J224">
        <v>72.900000000000006</v>
      </c>
      <c r="K224">
        <v>18</v>
      </c>
      <c r="L224">
        <v>9</v>
      </c>
      <c r="M22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5" spans="1:13" x14ac:dyDescent="0.3">
      <c r="A225" t="s">
        <v>253</v>
      </c>
      <c r="B225">
        <v>21</v>
      </c>
      <c r="C225" t="s">
        <v>16</v>
      </c>
      <c r="D225" t="s">
        <v>17</v>
      </c>
      <c r="E225" t="s">
        <v>20</v>
      </c>
      <c r="F225">
        <v>8.06</v>
      </c>
      <c r="G225">
        <v>1.85</v>
      </c>
      <c r="H225">
        <v>6.21</v>
      </c>
      <c r="I225">
        <v>8.4</v>
      </c>
      <c r="J225">
        <v>56.6</v>
      </c>
      <c r="K225">
        <v>40</v>
      </c>
      <c r="L225">
        <v>12.6</v>
      </c>
      <c r="M22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6" spans="1:13" x14ac:dyDescent="0.3">
      <c r="A226" t="s">
        <v>254</v>
      </c>
      <c r="B226">
        <v>24</v>
      </c>
      <c r="C226" t="s">
        <v>16</v>
      </c>
      <c r="D226" t="s">
        <v>17</v>
      </c>
      <c r="E226" t="s">
        <v>18</v>
      </c>
      <c r="F226">
        <v>9.51</v>
      </c>
      <c r="G226">
        <v>2.33</v>
      </c>
      <c r="H226">
        <v>7.18</v>
      </c>
      <c r="I226">
        <v>8.8000000000000007</v>
      </c>
      <c r="J226">
        <v>49</v>
      </c>
      <c r="K226">
        <v>155</v>
      </c>
      <c r="L226">
        <v>11.1</v>
      </c>
      <c r="M22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7" spans="1:13" x14ac:dyDescent="0.3">
      <c r="A227" t="s">
        <v>255</v>
      </c>
      <c r="B227">
        <v>35</v>
      </c>
      <c r="C227" t="s">
        <v>24</v>
      </c>
      <c r="D227" t="s">
        <v>17</v>
      </c>
      <c r="E227" t="s">
        <v>18</v>
      </c>
      <c r="F227">
        <v>11.85</v>
      </c>
      <c r="G227">
        <v>6.4</v>
      </c>
      <c r="H227">
        <v>5.45</v>
      </c>
      <c r="I227">
        <v>9.3000000000000007</v>
      </c>
      <c r="J227">
        <v>32.700000000000003</v>
      </c>
      <c r="K227">
        <v>106</v>
      </c>
      <c r="L227">
        <v>4.7</v>
      </c>
      <c r="M22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8" spans="1:13" x14ac:dyDescent="0.3">
      <c r="A228" t="s">
        <v>256</v>
      </c>
      <c r="B228">
        <v>24</v>
      </c>
      <c r="C228" t="s">
        <v>24</v>
      </c>
      <c r="D228" t="s">
        <v>26</v>
      </c>
      <c r="E228" t="s">
        <v>22</v>
      </c>
      <c r="F228">
        <v>10.64</v>
      </c>
      <c r="G228">
        <v>1.25</v>
      </c>
      <c r="H228">
        <v>9.39</v>
      </c>
      <c r="I228">
        <v>10</v>
      </c>
      <c r="J228">
        <v>36.5</v>
      </c>
      <c r="K228">
        <v>98</v>
      </c>
      <c r="L228">
        <v>3.1</v>
      </c>
      <c r="M22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29" spans="1:13" x14ac:dyDescent="0.3">
      <c r="A229" t="s">
        <v>257</v>
      </c>
      <c r="B229">
        <v>31</v>
      </c>
      <c r="C229" t="s">
        <v>24</v>
      </c>
      <c r="D229" t="s">
        <v>29</v>
      </c>
      <c r="E229" t="s">
        <v>22</v>
      </c>
      <c r="F229">
        <v>7.51</v>
      </c>
      <c r="G229">
        <v>0.73</v>
      </c>
      <c r="H229">
        <v>6.78</v>
      </c>
      <c r="I229">
        <v>7.8</v>
      </c>
      <c r="J229">
        <v>58.5</v>
      </c>
      <c r="K229">
        <v>135</v>
      </c>
      <c r="L229">
        <v>12.2</v>
      </c>
      <c r="M22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0" spans="1:13" x14ac:dyDescent="0.3">
      <c r="A230" t="s">
        <v>258</v>
      </c>
      <c r="B230">
        <v>30</v>
      </c>
      <c r="C230" t="s">
        <v>24</v>
      </c>
      <c r="D230" t="s">
        <v>29</v>
      </c>
      <c r="E230" t="s">
        <v>20</v>
      </c>
      <c r="F230">
        <v>6.2</v>
      </c>
      <c r="G230">
        <v>0.31</v>
      </c>
      <c r="H230">
        <v>5.89</v>
      </c>
      <c r="I230">
        <v>6.9</v>
      </c>
      <c r="J230">
        <v>60.7</v>
      </c>
      <c r="K230">
        <v>127</v>
      </c>
      <c r="L230">
        <v>14.2</v>
      </c>
      <c r="M23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1" spans="1:13" x14ac:dyDescent="0.3">
      <c r="A231" t="s">
        <v>259</v>
      </c>
      <c r="B231">
        <v>24</v>
      </c>
      <c r="C231" t="s">
        <v>24</v>
      </c>
      <c r="D231" t="s">
        <v>26</v>
      </c>
      <c r="E231" t="s">
        <v>20</v>
      </c>
      <c r="F231">
        <v>7.26</v>
      </c>
      <c r="G231">
        <v>0.96</v>
      </c>
      <c r="H231">
        <v>6.3</v>
      </c>
      <c r="I231">
        <v>9.9</v>
      </c>
      <c r="J231">
        <v>58.8</v>
      </c>
      <c r="K231">
        <v>198</v>
      </c>
      <c r="L231">
        <v>3.1</v>
      </c>
      <c r="M23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2" spans="1:13" x14ac:dyDescent="0.3">
      <c r="A232" t="s">
        <v>260</v>
      </c>
      <c r="B232">
        <v>47</v>
      </c>
      <c r="C232" t="s">
        <v>16</v>
      </c>
      <c r="D232" t="s">
        <v>29</v>
      </c>
      <c r="E232" t="s">
        <v>18</v>
      </c>
      <c r="F232">
        <v>10.23</v>
      </c>
      <c r="G232">
        <v>3.11</v>
      </c>
      <c r="H232">
        <v>7.12</v>
      </c>
      <c r="I232">
        <v>10</v>
      </c>
      <c r="J232">
        <v>44.1</v>
      </c>
      <c r="K232">
        <v>114</v>
      </c>
      <c r="L232">
        <v>0.7</v>
      </c>
      <c r="M23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3" spans="1:13" x14ac:dyDescent="0.3">
      <c r="A233" t="s">
        <v>261</v>
      </c>
      <c r="B233">
        <v>35</v>
      </c>
      <c r="C233" t="s">
        <v>16</v>
      </c>
      <c r="D233" t="s">
        <v>26</v>
      </c>
      <c r="E233" t="s">
        <v>18</v>
      </c>
      <c r="F233">
        <v>10.18</v>
      </c>
      <c r="G233">
        <v>5.4</v>
      </c>
      <c r="H233">
        <v>4.78</v>
      </c>
      <c r="I233">
        <v>8.9</v>
      </c>
      <c r="J233">
        <v>42.1</v>
      </c>
      <c r="K233">
        <v>0</v>
      </c>
      <c r="L233">
        <v>8.1</v>
      </c>
      <c r="M23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4" spans="1:13" x14ac:dyDescent="0.3">
      <c r="A234" t="s">
        <v>262</v>
      </c>
      <c r="B234">
        <v>16</v>
      </c>
      <c r="C234" t="s">
        <v>16</v>
      </c>
      <c r="D234" t="s">
        <v>17</v>
      </c>
      <c r="E234" t="s">
        <v>20</v>
      </c>
      <c r="F234">
        <v>8.98</v>
      </c>
      <c r="G234">
        <v>1.47</v>
      </c>
      <c r="H234">
        <v>7.51</v>
      </c>
      <c r="I234">
        <v>7.6</v>
      </c>
      <c r="J234">
        <v>55.5</v>
      </c>
      <c r="K234">
        <v>211</v>
      </c>
      <c r="L234">
        <v>7.3</v>
      </c>
      <c r="M23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5" spans="1:13" x14ac:dyDescent="0.3">
      <c r="A235" t="s">
        <v>263</v>
      </c>
      <c r="B235">
        <v>31</v>
      </c>
      <c r="C235" t="s">
        <v>24</v>
      </c>
      <c r="D235" t="s">
        <v>17</v>
      </c>
      <c r="E235" t="s">
        <v>22</v>
      </c>
      <c r="F235">
        <v>10.39</v>
      </c>
      <c r="G235">
        <v>0.96</v>
      </c>
      <c r="H235">
        <v>9.43</v>
      </c>
      <c r="I235">
        <v>10</v>
      </c>
      <c r="J235">
        <v>46.3</v>
      </c>
      <c r="K235">
        <v>122</v>
      </c>
      <c r="L235">
        <v>6.3</v>
      </c>
      <c r="M23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6" spans="1:13" x14ac:dyDescent="0.3">
      <c r="A236" t="s">
        <v>264</v>
      </c>
      <c r="B236">
        <v>24</v>
      </c>
      <c r="C236" t="s">
        <v>16</v>
      </c>
      <c r="D236" t="s">
        <v>26</v>
      </c>
      <c r="E236" t="s">
        <v>20</v>
      </c>
      <c r="F236">
        <v>8.7100000000000009</v>
      </c>
      <c r="G236">
        <v>0.48</v>
      </c>
      <c r="H236">
        <v>8.23</v>
      </c>
      <c r="I236">
        <v>9.6</v>
      </c>
      <c r="J236">
        <v>48.5</v>
      </c>
      <c r="K236">
        <v>61</v>
      </c>
      <c r="L236">
        <v>10.9</v>
      </c>
      <c r="M23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7" spans="1:13" x14ac:dyDescent="0.3">
      <c r="A237" t="s">
        <v>265</v>
      </c>
      <c r="B237">
        <v>36</v>
      </c>
      <c r="C237" t="s">
        <v>24</v>
      </c>
      <c r="D237" t="s">
        <v>29</v>
      </c>
      <c r="E237" t="s">
        <v>22</v>
      </c>
      <c r="F237">
        <v>9.0399999999999991</v>
      </c>
      <c r="G237">
        <v>0.45</v>
      </c>
      <c r="H237">
        <v>8.59</v>
      </c>
      <c r="I237">
        <v>9.5</v>
      </c>
      <c r="J237">
        <v>49.9</v>
      </c>
      <c r="K237">
        <v>19</v>
      </c>
      <c r="L237">
        <v>7.3</v>
      </c>
      <c r="M23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8" spans="1:13" x14ac:dyDescent="0.3">
      <c r="A238" t="s">
        <v>266</v>
      </c>
      <c r="B238">
        <v>23</v>
      </c>
      <c r="C238" t="s">
        <v>24</v>
      </c>
      <c r="D238" t="s">
        <v>29</v>
      </c>
      <c r="E238" t="s">
        <v>22</v>
      </c>
      <c r="F238">
        <v>7.05</v>
      </c>
      <c r="G238">
        <v>1.19</v>
      </c>
      <c r="H238">
        <v>5.86</v>
      </c>
      <c r="I238">
        <v>6.4</v>
      </c>
      <c r="J238">
        <v>69.099999999999994</v>
      </c>
      <c r="K238">
        <v>140</v>
      </c>
      <c r="L238">
        <v>0</v>
      </c>
      <c r="M23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39" spans="1:13" x14ac:dyDescent="0.3">
      <c r="A239" t="s">
        <v>267</v>
      </c>
      <c r="B239">
        <v>29</v>
      </c>
      <c r="C239" t="s">
        <v>24</v>
      </c>
      <c r="D239" t="s">
        <v>17</v>
      </c>
      <c r="E239" t="s">
        <v>18</v>
      </c>
      <c r="F239">
        <v>7.76</v>
      </c>
      <c r="G239">
        <v>2.5</v>
      </c>
      <c r="H239">
        <v>5.26</v>
      </c>
      <c r="I239">
        <v>7.9</v>
      </c>
      <c r="J239">
        <v>60.6</v>
      </c>
      <c r="K239">
        <v>103</v>
      </c>
      <c r="L239">
        <v>2.4</v>
      </c>
      <c r="M23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0" spans="1:13" x14ac:dyDescent="0.3">
      <c r="A240" t="s">
        <v>268</v>
      </c>
      <c r="B240">
        <v>34</v>
      </c>
      <c r="C240" t="s">
        <v>16</v>
      </c>
      <c r="D240" t="s">
        <v>26</v>
      </c>
      <c r="E240" t="s">
        <v>22</v>
      </c>
      <c r="F240">
        <v>6.86</v>
      </c>
      <c r="G240">
        <v>0.72</v>
      </c>
      <c r="H240">
        <v>6.14</v>
      </c>
      <c r="I240">
        <v>5.2</v>
      </c>
      <c r="J240">
        <v>82.7</v>
      </c>
      <c r="K240">
        <v>229</v>
      </c>
      <c r="L240">
        <v>10</v>
      </c>
      <c r="M24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1" spans="1:13" x14ac:dyDescent="0.3">
      <c r="A241" t="s">
        <v>269</v>
      </c>
      <c r="B241">
        <v>36</v>
      </c>
      <c r="C241" t="s">
        <v>24</v>
      </c>
      <c r="D241" t="s">
        <v>17</v>
      </c>
      <c r="E241" t="s">
        <v>22</v>
      </c>
      <c r="F241">
        <v>10.39</v>
      </c>
      <c r="G241">
        <v>0.56999999999999995</v>
      </c>
      <c r="H241">
        <v>9.82</v>
      </c>
      <c r="I241">
        <v>10</v>
      </c>
      <c r="J241">
        <v>47.9</v>
      </c>
      <c r="K241">
        <v>74</v>
      </c>
      <c r="L241">
        <v>6.4</v>
      </c>
      <c r="M24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2" spans="1:13" x14ac:dyDescent="0.3">
      <c r="A242" t="s">
        <v>270</v>
      </c>
      <c r="B242">
        <v>20</v>
      </c>
      <c r="C242" t="s">
        <v>16</v>
      </c>
      <c r="D242" t="s">
        <v>17</v>
      </c>
      <c r="E242" t="s">
        <v>22</v>
      </c>
      <c r="F242">
        <v>10.130000000000001</v>
      </c>
      <c r="G242">
        <v>0.51</v>
      </c>
      <c r="H242">
        <v>9.6199999999999992</v>
      </c>
      <c r="I242">
        <v>10</v>
      </c>
      <c r="J242">
        <v>38.6</v>
      </c>
      <c r="K242">
        <v>34</v>
      </c>
      <c r="L242">
        <v>0</v>
      </c>
      <c r="M24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3" spans="1:13" x14ac:dyDescent="0.3">
      <c r="A243" t="s">
        <v>271</v>
      </c>
      <c r="B243">
        <v>27</v>
      </c>
      <c r="C243" t="s">
        <v>24</v>
      </c>
      <c r="D243" t="s">
        <v>31</v>
      </c>
      <c r="E243" t="s">
        <v>18</v>
      </c>
      <c r="F243">
        <v>8.8000000000000007</v>
      </c>
      <c r="G243">
        <v>6.69</v>
      </c>
      <c r="H243">
        <v>2.11</v>
      </c>
      <c r="I243">
        <v>6.8</v>
      </c>
      <c r="J243">
        <v>76.900000000000006</v>
      </c>
      <c r="K243">
        <v>166</v>
      </c>
      <c r="L243">
        <v>0</v>
      </c>
      <c r="M24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4" spans="1:13" x14ac:dyDescent="0.3">
      <c r="A244" t="s">
        <v>272</v>
      </c>
      <c r="B244">
        <v>26</v>
      </c>
      <c r="C244" t="s">
        <v>16</v>
      </c>
      <c r="D244" t="s">
        <v>17</v>
      </c>
      <c r="E244" t="s">
        <v>20</v>
      </c>
      <c r="F244">
        <v>8.4499999999999993</v>
      </c>
      <c r="G244">
        <v>1.83</v>
      </c>
      <c r="H244">
        <v>6.62</v>
      </c>
      <c r="I244">
        <v>5.2</v>
      </c>
      <c r="J244">
        <v>72.5</v>
      </c>
      <c r="K244">
        <v>170</v>
      </c>
      <c r="L244">
        <v>8.3000000000000007</v>
      </c>
      <c r="M24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5" spans="1:13" x14ac:dyDescent="0.3">
      <c r="A245" t="s">
        <v>273</v>
      </c>
      <c r="B245">
        <v>24</v>
      </c>
      <c r="C245" t="s">
        <v>16</v>
      </c>
      <c r="D245" t="s">
        <v>17</v>
      </c>
      <c r="E245" t="s">
        <v>20</v>
      </c>
      <c r="F245">
        <v>10.130000000000001</v>
      </c>
      <c r="G245">
        <v>2.5499999999999998</v>
      </c>
      <c r="H245">
        <v>7.58</v>
      </c>
      <c r="I245">
        <v>8.5</v>
      </c>
      <c r="J245">
        <v>43.8</v>
      </c>
      <c r="K245">
        <v>106</v>
      </c>
      <c r="L245">
        <v>14.5</v>
      </c>
      <c r="M24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6" spans="1:13" x14ac:dyDescent="0.3">
      <c r="A246" t="s">
        <v>274</v>
      </c>
      <c r="B246">
        <v>44</v>
      </c>
      <c r="C246" t="s">
        <v>24</v>
      </c>
      <c r="D246" t="s">
        <v>17</v>
      </c>
      <c r="E246" t="s">
        <v>18</v>
      </c>
      <c r="F246">
        <v>9.61</v>
      </c>
      <c r="G246">
        <v>5.75</v>
      </c>
      <c r="H246">
        <v>3.86</v>
      </c>
      <c r="I246">
        <v>10</v>
      </c>
      <c r="J246">
        <v>59.5</v>
      </c>
      <c r="K246">
        <v>155</v>
      </c>
      <c r="L246">
        <v>8.6999999999999993</v>
      </c>
      <c r="M24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7" spans="1:13" x14ac:dyDescent="0.3">
      <c r="A247" t="s">
        <v>275</v>
      </c>
      <c r="B247">
        <v>33</v>
      </c>
      <c r="C247" t="s">
        <v>16</v>
      </c>
      <c r="D247" t="s">
        <v>17</v>
      </c>
      <c r="E247" t="s">
        <v>18</v>
      </c>
      <c r="F247">
        <v>12.69</v>
      </c>
      <c r="G247">
        <v>5.84</v>
      </c>
      <c r="H247">
        <v>6.85</v>
      </c>
      <c r="I247">
        <v>10</v>
      </c>
      <c r="J247">
        <v>51.4</v>
      </c>
      <c r="K247">
        <v>81</v>
      </c>
      <c r="L247">
        <v>11.1</v>
      </c>
      <c r="M24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8" spans="1:13" x14ac:dyDescent="0.3">
      <c r="A248" t="s">
        <v>276</v>
      </c>
      <c r="B248">
        <v>19</v>
      </c>
      <c r="C248" t="s">
        <v>16</v>
      </c>
      <c r="D248" t="s">
        <v>17</v>
      </c>
      <c r="E248" t="s">
        <v>18</v>
      </c>
      <c r="F248">
        <v>11.19</v>
      </c>
      <c r="G248">
        <v>4.91</v>
      </c>
      <c r="H248">
        <v>6.28</v>
      </c>
      <c r="I248">
        <v>10</v>
      </c>
      <c r="J248">
        <v>41</v>
      </c>
      <c r="K248">
        <v>102</v>
      </c>
      <c r="L248">
        <v>6</v>
      </c>
      <c r="M24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49" spans="1:13" x14ac:dyDescent="0.3">
      <c r="A249" t="s">
        <v>277</v>
      </c>
      <c r="B249">
        <v>37</v>
      </c>
      <c r="C249" t="s">
        <v>24</v>
      </c>
      <c r="D249" t="s">
        <v>26</v>
      </c>
      <c r="E249" t="s">
        <v>22</v>
      </c>
      <c r="F249">
        <v>4.87</v>
      </c>
      <c r="G249">
        <v>0.41</v>
      </c>
      <c r="H249">
        <v>4.46</v>
      </c>
      <c r="I249">
        <v>2.7</v>
      </c>
      <c r="J249">
        <v>88.9</v>
      </c>
      <c r="K249">
        <v>214</v>
      </c>
      <c r="L249">
        <v>2.5</v>
      </c>
      <c r="M24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0" spans="1:13" x14ac:dyDescent="0.3">
      <c r="A250" t="s">
        <v>278</v>
      </c>
      <c r="B250">
        <v>46</v>
      </c>
      <c r="C250" t="s">
        <v>24</v>
      </c>
      <c r="D250" t="s">
        <v>17</v>
      </c>
      <c r="E250" t="s">
        <v>22</v>
      </c>
      <c r="F250">
        <v>13.66</v>
      </c>
      <c r="G250">
        <v>0.79</v>
      </c>
      <c r="H250">
        <v>12.87</v>
      </c>
      <c r="I250">
        <v>10</v>
      </c>
      <c r="J250">
        <v>36.5</v>
      </c>
      <c r="K250">
        <v>128</v>
      </c>
      <c r="L250">
        <v>7.2</v>
      </c>
      <c r="M25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1" spans="1:13" x14ac:dyDescent="0.3">
      <c r="A251" t="s">
        <v>279</v>
      </c>
      <c r="B251">
        <v>38</v>
      </c>
      <c r="C251" t="s">
        <v>24</v>
      </c>
      <c r="D251" t="s">
        <v>17</v>
      </c>
      <c r="E251" t="s">
        <v>22</v>
      </c>
      <c r="F251">
        <v>9.8000000000000007</v>
      </c>
      <c r="G251">
        <v>0.65</v>
      </c>
      <c r="H251">
        <v>9.15</v>
      </c>
      <c r="I251">
        <v>8.6</v>
      </c>
      <c r="J251">
        <v>53.2</v>
      </c>
      <c r="K251">
        <v>91</v>
      </c>
      <c r="L251">
        <v>9.9</v>
      </c>
      <c r="M25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2" spans="1:13" x14ac:dyDescent="0.3">
      <c r="A252" t="s">
        <v>280</v>
      </c>
      <c r="B252">
        <v>17</v>
      </c>
      <c r="C252" t="s">
        <v>24</v>
      </c>
      <c r="D252" t="s">
        <v>37</v>
      </c>
      <c r="E252" t="s">
        <v>18</v>
      </c>
      <c r="F252">
        <v>6.42</v>
      </c>
      <c r="G252">
        <v>4.43</v>
      </c>
      <c r="H252">
        <v>1.99</v>
      </c>
      <c r="I252">
        <v>7.6</v>
      </c>
      <c r="J252">
        <v>65.599999999999994</v>
      </c>
      <c r="K252">
        <v>208</v>
      </c>
      <c r="L252">
        <v>8.4</v>
      </c>
      <c r="M25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3" spans="1:13" x14ac:dyDescent="0.3">
      <c r="A253" t="s">
        <v>281</v>
      </c>
      <c r="B253">
        <v>26</v>
      </c>
      <c r="C253" t="s">
        <v>24</v>
      </c>
      <c r="D253" t="s">
        <v>17</v>
      </c>
      <c r="E253" t="s">
        <v>22</v>
      </c>
      <c r="F253">
        <v>9.26</v>
      </c>
      <c r="G253">
        <v>0.46</v>
      </c>
      <c r="H253">
        <v>8.8000000000000007</v>
      </c>
      <c r="I253">
        <v>7.1</v>
      </c>
      <c r="J253">
        <v>65.099999999999994</v>
      </c>
      <c r="K253">
        <v>0</v>
      </c>
      <c r="L253">
        <v>0</v>
      </c>
      <c r="M25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4" spans="1:13" x14ac:dyDescent="0.3">
      <c r="A254" t="s">
        <v>282</v>
      </c>
      <c r="B254">
        <v>40</v>
      </c>
      <c r="C254" t="s">
        <v>16</v>
      </c>
      <c r="D254" t="s">
        <v>17</v>
      </c>
      <c r="E254" t="s">
        <v>22</v>
      </c>
      <c r="F254">
        <v>9.66</v>
      </c>
      <c r="G254">
        <v>1.1599999999999999</v>
      </c>
      <c r="H254">
        <v>8.5</v>
      </c>
      <c r="I254">
        <v>8.4</v>
      </c>
      <c r="J254">
        <v>50.5</v>
      </c>
      <c r="K254">
        <v>249</v>
      </c>
      <c r="L254">
        <v>5.0999999999999996</v>
      </c>
      <c r="M25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5" spans="1:13" x14ac:dyDescent="0.3">
      <c r="A255" t="s">
        <v>284</v>
      </c>
      <c r="B255">
        <v>33</v>
      </c>
      <c r="C255" t="s">
        <v>16</v>
      </c>
      <c r="D255" t="s">
        <v>26</v>
      </c>
      <c r="E255" t="s">
        <v>20</v>
      </c>
      <c r="F255">
        <v>8.8699999999999992</v>
      </c>
      <c r="G255">
        <v>1</v>
      </c>
      <c r="H255">
        <v>7.87</v>
      </c>
      <c r="I255">
        <v>8.5</v>
      </c>
      <c r="J255">
        <v>48.8</v>
      </c>
      <c r="K255">
        <v>62</v>
      </c>
      <c r="L255">
        <v>10.6</v>
      </c>
      <c r="M25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6" spans="1:13" x14ac:dyDescent="0.3">
      <c r="A256" t="s">
        <v>285</v>
      </c>
      <c r="B256">
        <v>36</v>
      </c>
      <c r="C256" t="s">
        <v>24</v>
      </c>
      <c r="D256" t="s">
        <v>37</v>
      </c>
      <c r="E256" t="s">
        <v>18</v>
      </c>
      <c r="F256">
        <v>8.89</v>
      </c>
      <c r="G256">
        <v>2.93</v>
      </c>
      <c r="H256">
        <v>5.96</v>
      </c>
      <c r="I256">
        <v>7.8</v>
      </c>
      <c r="J256">
        <v>65.7</v>
      </c>
      <c r="K256">
        <v>105</v>
      </c>
      <c r="L256">
        <v>13.3</v>
      </c>
      <c r="M25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7" spans="1:13" x14ac:dyDescent="0.3">
      <c r="A257" t="s">
        <v>286</v>
      </c>
      <c r="B257">
        <v>22</v>
      </c>
      <c r="C257" t="s">
        <v>24</v>
      </c>
      <c r="D257" t="s">
        <v>17</v>
      </c>
      <c r="E257" t="s">
        <v>22</v>
      </c>
      <c r="F257">
        <v>7.83</v>
      </c>
      <c r="G257">
        <v>1.79</v>
      </c>
      <c r="H257">
        <v>6.04</v>
      </c>
      <c r="I257">
        <v>7.4</v>
      </c>
      <c r="J257">
        <v>60.9</v>
      </c>
      <c r="K257">
        <v>97</v>
      </c>
      <c r="L257">
        <v>5.9</v>
      </c>
      <c r="M25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8" spans="1:13" x14ac:dyDescent="0.3">
      <c r="A258" t="s">
        <v>287</v>
      </c>
      <c r="B258">
        <v>29</v>
      </c>
      <c r="C258" t="s">
        <v>16</v>
      </c>
      <c r="D258" t="s">
        <v>26</v>
      </c>
      <c r="E258" t="s">
        <v>18</v>
      </c>
      <c r="F258">
        <v>14.18</v>
      </c>
      <c r="G258">
        <v>2.4</v>
      </c>
      <c r="H258">
        <v>11.78</v>
      </c>
      <c r="I258">
        <v>7.8</v>
      </c>
      <c r="J258">
        <v>48.1</v>
      </c>
      <c r="K258">
        <v>143</v>
      </c>
      <c r="L258">
        <v>5.3</v>
      </c>
      <c r="M25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59" spans="1:13" x14ac:dyDescent="0.3">
      <c r="A259" t="s">
        <v>288</v>
      </c>
      <c r="B259">
        <v>16</v>
      </c>
      <c r="C259" t="s">
        <v>16</v>
      </c>
      <c r="D259" t="s">
        <v>17</v>
      </c>
      <c r="E259" t="s">
        <v>22</v>
      </c>
      <c r="F259">
        <v>7.64</v>
      </c>
      <c r="G259">
        <v>0.55000000000000004</v>
      </c>
      <c r="H259">
        <v>7.09</v>
      </c>
      <c r="I259">
        <v>6.9</v>
      </c>
      <c r="J259">
        <v>58.3</v>
      </c>
      <c r="K259">
        <v>31</v>
      </c>
      <c r="L259">
        <v>11</v>
      </c>
      <c r="M25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0" spans="1:13" x14ac:dyDescent="0.3">
      <c r="A260" t="s">
        <v>289</v>
      </c>
      <c r="B260">
        <v>21</v>
      </c>
      <c r="C260" t="s">
        <v>24</v>
      </c>
      <c r="D260" t="s">
        <v>17</v>
      </c>
      <c r="E260" t="s">
        <v>20</v>
      </c>
      <c r="F260">
        <v>8.86</v>
      </c>
      <c r="G260">
        <v>0.68</v>
      </c>
      <c r="H260">
        <v>8.18</v>
      </c>
      <c r="I260">
        <v>8.5</v>
      </c>
      <c r="J260">
        <v>50.4</v>
      </c>
      <c r="K260">
        <v>119</v>
      </c>
      <c r="L260">
        <v>12.1</v>
      </c>
      <c r="M26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1" spans="1:13" x14ac:dyDescent="0.3">
      <c r="A261" t="s">
        <v>290</v>
      </c>
      <c r="B261">
        <v>27</v>
      </c>
      <c r="C261" t="s">
        <v>16</v>
      </c>
      <c r="D261" t="s">
        <v>26</v>
      </c>
      <c r="E261" t="s">
        <v>22</v>
      </c>
      <c r="F261">
        <v>8.08</v>
      </c>
      <c r="G261">
        <v>1.42</v>
      </c>
      <c r="H261">
        <v>6.66</v>
      </c>
      <c r="I261">
        <v>10</v>
      </c>
      <c r="J261">
        <v>43.6</v>
      </c>
      <c r="K261">
        <v>68</v>
      </c>
      <c r="L261">
        <v>8.3000000000000007</v>
      </c>
      <c r="M26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2" spans="1:13" x14ac:dyDescent="0.3">
      <c r="A262" t="s">
        <v>291</v>
      </c>
      <c r="B262">
        <v>20</v>
      </c>
      <c r="C262" t="s">
        <v>24</v>
      </c>
      <c r="D262" t="s">
        <v>17</v>
      </c>
      <c r="E262" t="s">
        <v>20</v>
      </c>
      <c r="F262">
        <v>7.95</v>
      </c>
      <c r="G262">
        <v>0.88</v>
      </c>
      <c r="H262">
        <v>7.07</v>
      </c>
      <c r="I262">
        <v>6.7</v>
      </c>
      <c r="J262">
        <v>67.3</v>
      </c>
      <c r="K262">
        <v>126</v>
      </c>
      <c r="L262">
        <v>10.8</v>
      </c>
      <c r="M26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3" spans="1:13" x14ac:dyDescent="0.3">
      <c r="A263" t="s">
        <v>292</v>
      </c>
      <c r="B263">
        <v>43</v>
      </c>
      <c r="C263" t="s">
        <v>16</v>
      </c>
      <c r="D263" t="s">
        <v>17</v>
      </c>
      <c r="E263" t="s">
        <v>18</v>
      </c>
      <c r="F263">
        <v>9.23</v>
      </c>
      <c r="G263">
        <v>6.1</v>
      </c>
      <c r="H263">
        <v>3.13</v>
      </c>
      <c r="I263">
        <v>8.4</v>
      </c>
      <c r="J263">
        <v>52.2</v>
      </c>
      <c r="K263">
        <v>105</v>
      </c>
      <c r="L263">
        <v>8.6</v>
      </c>
      <c r="M26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4" spans="1:13" x14ac:dyDescent="0.3">
      <c r="A264" t="s">
        <v>293</v>
      </c>
      <c r="B264">
        <v>18</v>
      </c>
      <c r="C264" t="s">
        <v>24</v>
      </c>
      <c r="D264" t="s">
        <v>17</v>
      </c>
      <c r="E264" t="s">
        <v>18</v>
      </c>
      <c r="F264">
        <v>9.1999999999999993</v>
      </c>
      <c r="G264">
        <v>2.5499999999999998</v>
      </c>
      <c r="H264">
        <v>6.65</v>
      </c>
      <c r="I264">
        <v>10</v>
      </c>
      <c r="J264">
        <v>39.799999999999997</v>
      </c>
      <c r="K264">
        <v>103</v>
      </c>
      <c r="L264">
        <v>8.5</v>
      </c>
      <c r="M26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5" spans="1:13" x14ac:dyDescent="0.3">
      <c r="A265" t="s">
        <v>294</v>
      </c>
      <c r="B265">
        <v>26</v>
      </c>
      <c r="C265" t="s">
        <v>16</v>
      </c>
      <c r="D265" t="s">
        <v>26</v>
      </c>
      <c r="E265" t="s">
        <v>22</v>
      </c>
      <c r="F265">
        <v>11.55</v>
      </c>
      <c r="G265">
        <v>0.57999999999999996</v>
      </c>
      <c r="H265">
        <v>10.97</v>
      </c>
      <c r="I265">
        <v>9.3000000000000007</v>
      </c>
      <c r="J265">
        <v>56.2</v>
      </c>
      <c r="K265">
        <v>48</v>
      </c>
      <c r="L265">
        <v>7.2</v>
      </c>
      <c r="M26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6" spans="1:13" x14ac:dyDescent="0.3">
      <c r="A266" t="s">
        <v>295</v>
      </c>
      <c r="B266">
        <v>31</v>
      </c>
      <c r="C266" t="s">
        <v>24</v>
      </c>
      <c r="D266" t="s">
        <v>29</v>
      </c>
      <c r="E266" t="s">
        <v>22</v>
      </c>
      <c r="F266">
        <v>6.15</v>
      </c>
      <c r="G266">
        <v>0.37</v>
      </c>
      <c r="H266">
        <v>5.78</v>
      </c>
      <c r="I266">
        <v>7.5</v>
      </c>
      <c r="J266">
        <v>64.599999999999994</v>
      </c>
      <c r="K266">
        <v>86</v>
      </c>
      <c r="L266">
        <v>9.3000000000000007</v>
      </c>
      <c r="M26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7" spans="1:13" x14ac:dyDescent="0.3">
      <c r="A267" t="s">
        <v>296</v>
      </c>
      <c r="B267">
        <v>41</v>
      </c>
      <c r="C267" t="s">
        <v>24</v>
      </c>
      <c r="D267" t="s">
        <v>31</v>
      </c>
      <c r="E267" t="s">
        <v>18</v>
      </c>
      <c r="F267">
        <v>9.01</v>
      </c>
      <c r="G267">
        <v>2.73</v>
      </c>
      <c r="H267">
        <v>6.28</v>
      </c>
      <c r="I267">
        <v>6.8</v>
      </c>
      <c r="J267">
        <v>49</v>
      </c>
      <c r="K267">
        <v>130</v>
      </c>
      <c r="L267">
        <v>10.1</v>
      </c>
      <c r="M26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8" spans="1:13" x14ac:dyDescent="0.3">
      <c r="A268" t="s">
        <v>297</v>
      </c>
      <c r="B268">
        <v>18</v>
      </c>
      <c r="C268" t="s">
        <v>24</v>
      </c>
      <c r="D268" t="s">
        <v>37</v>
      </c>
      <c r="E268" t="s">
        <v>18</v>
      </c>
      <c r="F268">
        <v>5.87</v>
      </c>
      <c r="G268">
        <v>3.68</v>
      </c>
      <c r="H268">
        <v>2.19</v>
      </c>
      <c r="I268">
        <v>5.9</v>
      </c>
      <c r="J268">
        <v>62.2</v>
      </c>
      <c r="K268">
        <v>183</v>
      </c>
      <c r="L268">
        <v>15.2</v>
      </c>
      <c r="M26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69" spans="1:13" x14ac:dyDescent="0.3">
      <c r="A269" t="s">
        <v>298</v>
      </c>
      <c r="B269">
        <v>39</v>
      </c>
      <c r="C269" t="s">
        <v>24</v>
      </c>
      <c r="D269" t="s">
        <v>17</v>
      </c>
      <c r="E269" t="s">
        <v>18</v>
      </c>
      <c r="F269">
        <v>10.130000000000001</v>
      </c>
      <c r="G269">
        <v>5.13</v>
      </c>
      <c r="H269">
        <v>5</v>
      </c>
      <c r="I269">
        <v>7.7</v>
      </c>
      <c r="J269">
        <v>47.1</v>
      </c>
      <c r="K269">
        <v>60</v>
      </c>
      <c r="L269">
        <v>10.4</v>
      </c>
      <c r="M26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0" spans="1:13" x14ac:dyDescent="0.3">
      <c r="A270" t="s">
        <v>299</v>
      </c>
      <c r="B270">
        <v>30</v>
      </c>
      <c r="C270" t="s">
        <v>24</v>
      </c>
      <c r="D270" t="s">
        <v>26</v>
      </c>
      <c r="E270" t="s">
        <v>20</v>
      </c>
      <c r="F270">
        <v>10.57</v>
      </c>
      <c r="G270">
        <v>0.53</v>
      </c>
      <c r="H270">
        <v>10.039999999999999</v>
      </c>
      <c r="I270">
        <v>7</v>
      </c>
      <c r="J270">
        <v>60.4</v>
      </c>
      <c r="K270">
        <v>34</v>
      </c>
      <c r="L270">
        <v>0.7</v>
      </c>
      <c r="M27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1" spans="1:13" x14ac:dyDescent="0.3">
      <c r="A271" t="s">
        <v>300</v>
      </c>
      <c r="B271">
        <v>22</v>
      </c>
      <c r="C271" t="s">
        <v>24</v>
      </c>
      <c r="D271" t="s">
        <v>17</v>
      </c>
      <c r="E271" t="s">
        <v>18</v>
      </c>
      <c r="F271">
        <v>12.39</v>
      </c>
      <c r="G271">
        <v>5.27</v>
      </c>
      <c r="H271">
        <v>7.12</v>
      </c>
      <c r="I271">
        <v>10</v>
      </c>
      <c r="J271">
        <v>20.6</v>
      </c>
      <c r="K271">
        <v>123</v>
      </c>
      <c r="L271">
        <v>7.7</v>
      </c>
      <c r="M27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2" spans="1:13" x14ac:dyDescent="0.3">
      <c r="A272" t="s">
        <v>301</v>
      </c>
      <c r="B272">
        <v>33</v>
      </c>
      <c r="C272" t="s">
        <v>16</v>
      </c>
      <c r="D272" t="s">
        <v>26</v>
      </c>
      <c r="E272" t="s">
        <v>18</v>
      </c>
      <c r="F272">
        <v>19.170000000000002</v>
      </c>
      <c r="G272">
        <v>12.04</v>
      </c>
      <c r="H272">
        <v>7.13</v>
      </c>
      <c r="I272">
        <v>10</v>
      </c>
      <c r="J272">
        <v>28.4</v>
      </c>
      <c r="K272">
        <v>42</v>
      </c>
      <c r="L272">
        <v>0</v>
      </c>
      <c r="M27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3" spans="1:13" x14ac:dyDescent="0.3">
      <c r="A273" t="s">
        <v>302</v>
      </c>
      <c r="B273">
        <v>31</v>
      </c>
      <c r="C273" t="s">
        <v>24</v>
      </c>
      <c r="D273" t="s">
        <v>26</v>
      </c>
      <c r="E273" t="s">
        <v>18</v>
      </c>
      <c r="F273">
        <v>9.94</v>
      </c>
      <c r="G273">
        <v>1.1100000000000001</v>
      </c>
      <c r="H273">
        <v>8.83</v>
      </c>
      <c r="I273">
        <v>10</v>
      </c>
      <c r="J273">
        <v>42.2</v>
      </c>
      <c r="K273">
        <v>157</v>
      </c>
      <c r="L273">
        <v>0.8</v>
      </c>
      <c r="M27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4" spans="1:13" x14ac:dyDescent="0.3">
      <c r="A274" t="s">
        <v>303</v>
      </c>
      <c r="B274">
        <v>25</v>
      </c>
      <c r="C274" t="s">
        <v>24</v>
      </c>
      <c r="D274" t="s">
        <v>17</v>
      </c>
      <c r="E274" t="s">
        <v>22</v>
      </c>
      <c r="F274">
        <v>4.47</v>
      </c>
      <c r="G274">
        <v>1.04</v>
      </c>
      <c r="H274">
        <v>3.43</v>
      </c>
      <c r="I274">
        <v>3.9</v>
      </c>
      <c r="J274">
        <v>88.1</v>
      </c>
      <c r="K274">
        <v>65</v>
      </c>
      <c r="L274">
        <v>9.8000000000000007</v>
      </c>
      <c r="M27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5" spans="1:13" x14ac:dyDescent="0.3">
      <c r="A275" t="s">
        <v>304</v>
      </c>
      <c r="B275">
        <v>30</v>
      </c>
      <c r="C275" t="s">
        <v>16</v>
      </c>
      <c r="D275" t="s">
        <v>17</v>
      </c>
      <c r="E275" t="s">
        <v>18</v>
      </c>
      <c r="F275">
        <v>10.54</v>
      </c>
      <c r="G275">
        <v>6.2</v>
      </c>
      <c r="H275">
        <v>4.34</v>
      </c>
      <c r="I275">
        <v>8</v>
      </c>
      <c r="J275">
        <v>40.4</v>
      </c>
      <c r="K275">
        <v>0</v>
      </c>
      <c r="L275">
        <v>6</v>
      </c>
      <c r="M27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6" spans="1:13" x14ac:dyDescent="0.3">
      <c r="A276" t="s">
        <v>305</v>
      </c>
      <c r="B276">
        <v>26</v>
      </c>
      <c r="C276" t="s">
        <v>24</v>
      </c>
      <c r="D276" t="s">
        <v>17</v>
      </c>
      <c r="E276" t="s">
        <v>22</v>
      </c>
      <c r="F276">
        <v>7.24</v>
      </c>
      <c r="G276">
        <v>0.67</v>
      </c>
      <c r="H276">
        <v>6.57</v>
      </c>
      <c r="I276">
        <v>8.4</v>
      </c>
      <c r="J276">
        <v>54</v>
      </c>
      <c r="K276">
        <v>75</v>
      </c>
      <c r="L276">
        <v>2.1</v>
      </c>
      <c r="M27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7" spans="1:13" x14ac:dyDescent="0.3">
      <c r="A277" t="s">
        <v>306</v>
      </c>
      <c r="B277">
        <v>30</v>
      </c>
      <c r="C277" t="s">
        <v>24</v>
      </c>
      <c r="D277" t="s">
        <v>17</v>
      </c>
      <c r="E277" t="s">
        <v>18</v>
      </c>
      <c r="F277">
        <v>9.07</v>
      </c>
      <c r="G277">
        <v>3.61</v>
      </c>
      <c r="H277">
        <v>5.46</v>
      </c>
      <c r="I277">
        <v>10</v>
      </c>
      <c r="J277">
        <v>41.9</v>
      </c>
      <c r="K277">
        <v>50</v>
      </c>
      <c r="L277">
        <v>5.6</v>
      </c>
      <c r="M27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8" spans="1:13" x14ac:dyDescent="0.3">
      <c r="A278" t="s">
        <v>307</v>
      </c>
      <c r="B278">
        <v>35</v>
      </c>
      <c r="C278" t="s">
        <v>24</v>
      </c>
      <c r="D278" t="s">
        <v>17</v>
      </c>
      <c r="E278" t="s">
        <v>20</v>
      </c>
      <c r="F278">
        <v>9.51</v>
      </c>
      <c r="G278">
        <v>1.26</v>
      </c>
      <c r="H278">
        <v>8.25</v>
      </c>
      <c r="I278">
        <v>7.1</v>
      </c>
      <c r="J278">
        <v>70.3</v>
      </c>
      <c r="K278">
        <v>98</v>
      </c>
      <c r="L278">
        <v>5.7</v>
      </c>
      <c r="M27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79" spans="1:13" x14ac:dyDescent="0.3">
      <c r="A279" t="s">
        <v>308</v>
      </c>
      <c r="B279">
        <v>42</v>
      </c>
      <c r="C279" t="s">
        <v>16</v>
      </c>
      <c r="D279" t="s">
        <v>17</v>
      </c>
      <c r="E279" t="s">
        <v>18</v>
      </c>
      <c r="F279">
        <v>14.09</v>
      </c>
      <c r="G279">
        <v>7.1</v>
      </c>
      <c r="H279">
        <v>6.99</v>
      </c>
      <c r="I279">
        <v>10</v>
      </c>
      <c r="J279">
        <v>51.3</v>
      </c>
      <c r="K279">
        <v>35</v>
      </c>
      <c r="L279">
        <v>3.3</v>
      </c>
      <c r="M27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0" spans="1:13" x14ac:dyDescent="0.3">
      <c r="A280" t="s">
        <v>309</v>
      </c>
      <c r="B280">
        <v>20</v>
      </c>
      <c r="C280" t="s">
        <v>16</v>
      </c>
      <c r="D280" t="s">
        <v>31</v>
      </c>
      <c r="E280" t="s">
        <v>22</v>
      </c>
      <c r="F280">
        <v>5.59</v>
      </c>
      <c r="G280">
        <v>1.48</v>
      </c>
      <c r="H280">
        <v>4.1100000000000003</v>
      </c>
      <c r="I280">
        <v>6.3</v>
      </c>
      <c r="J280">
        <v>75.099999999999994</v>
      </c>
      <c r="K280">
        <v>171</v>
      </c>
      <c r="L280">
        <v>13.4</v>
      </c>
      <c r="M28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1" spans="1:13" x14ac:dyDescent="0.3">
      <c r="A281" t="s">
        <v>310</v>
      </c>
      <c r="B281">
        <v>47</v>
      </c>
      <c r="C281" t="s">
        <v>28</v>
      </c>
      <c r="D281" t="s">
        <v>17</v>
      </c>
      <c r="E281" t="s">
        <v>20</v>
      </c>
      <c r="F281">
        <v>2.44</v>
      </c>
      <c r="G281">
        <v>0.28999999999999998</v>
      </c>
      <c r="H281">
        <v>2.15</v>
      </c>
      <c r="I281">
        <v>6.7</v>
      </c>
      <c r="J281">
        <v>65.599999999999994</v>
      </c>
      <c r="K281">
        <v>132</v>
      </c>
      <c r="L281">
        <v>16.100000000000001</v>
      </c>
      <c r="M28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2" spans="1:13" x14ac:dyDescent="0.3">
      <c r="A282" t="s">
        <v>311</v>
      </c>
      <c r="B282">
        <v>16</v>
      </c>
      <c r="C282" t="s">
        <v>24</v>
      </c>
      <c r="D282" t="s">
        <v>17</v>
      </c>
      <c r="E282" t="s">
        <v>22</v>
      </c>
      <c r="F282">
        <v>8.3800000000000008</v>
      </c>
      <c r="G282">
        <v>0.42</v>
      </c>
      <c r="H282">
        <v>7.96</v>
      </c>
      <c r="I282">
        <v>6.9</v>
      </c>
      <c r="J282">
        <v>75.7</v>
      </c>
      <c r="K282">
        <v>111</v>
      </c>
      <c r="L282">
        <v>5.0999999999999996</v>
      </c>
      <c r="M28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3" spans="1:13" x14ac:dyDescent="0.3">
      <c r="A283" t="s">
        <v>312</v>
      </c>
      <c r="B283">
        <v>28</v>
      </c>
      <c r="C283" t="s">
        <v>16</v>
      </c>
      <c r="D283" t="s">
        <v>26</v>
      </c>
      <c r="E283" t="s">
        <v>18</v>
      </c>
      <c r="F283">
        <v>9.26</v>
      </c>
      <c r="G283">
        <v>3.6</v>
      </c>
      <c r="H283">
        <v>5.66</v>
      </c>
      <c r="I283">
        <v>7.8</v>
      </c>
      <c r="J283">
        <v>43.6</v>
      </c>
      <c r="K283">
        <v>112</v>
      </c>
      <c r="L283">
        <v>5.8</v>
      </c>
      <c r="M28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4" spans="1:13" x14ac:dyDescent="0.3">
      <c r="A284" t="s">
        <v>313</v>
      </c>
      <c r="B284">
        <v>34</v>
      </c>
      <c r="C284" t="s">
        <v>24</v>
      </c>
      <c r="D284" t="s">
        <v>17</v>
      </c>
      <c r="E284" t="s">
        <v>22</v>
      </c>
      <c r="F284">
        <v>12.73</v>
      </c>
      <c r="G284">
        <v>2.63</v>
      </c>
      <c r="H284">
        <v>10.1</v>
      </c>
      <c r="I284">
        <v>10</v>
      </c>
      <c r="J284">
        <v>30.5</v>
      </c>
      <c r="K284">
        <v>97</v>
      </c>
      <c r="L284">
        <v>0</v>
      </c>
      <c r="M28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5" spans="1:13" x14ac:dyDescent="0.3">
      <c r="A285" t="s">
        <v>314</v>
      </c>
      <c r="B285">
        <v>32</v>
      </c>
      <c r="C285" t="s">
        <v>24</v>
      </c>
      <c r="D285" t="s">
        <v>17</v>
      </c>
      <c r="E285" t="s">
        <v>22</v>
      </c>
      <c r="F285">
        <v>10.199999999999999</v>
      </c>
      <c r="G285">
        <v>0.51</v>
      </c>
      <c r="H285">
        <v>9.69</v>
      </c>
      <c r="I285">
        <v>10</v>
      </c>
      <c r="J285">
        <v>42.2</v>
      </c>
      <c r="K285">
        <v>96</v>
      </c>
      <c r="L285">
        <v>12.5</v>
      </c>
      <c r="M28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6" spans="1:13" x14ac:dyDescent="0.3">
      <c r="A286" t="s">
        <v>315</v>
      </c>
      <c r="B286">
        <v>25</v>
      </c>
      <c r="C286" t="s">
        <v>16</v>
      </c>
      <c r="D286" t="s">
        <v>26</v>
      </c>
      <c r="E286" t="s">
        <v>22</v>
      </c>
      <c r="F286">
        <v>11.67</v>
      </c>
      <c r="G286">
        <v>2.83</v>
      </c>
      <c r="H286">
        <v>8.84</v>
      </c>
      <c r="I286">
        <v>8.6</v>
      </c>
      <c r="J286">
        <v>59.6</v>
      </c>
      <c r="K286">
        <v>121</v>
      </c>
      <c r="L286">
        <v>7.1</v>
      </c>
      <c r="M28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7" spans="1:13" x14ac:dyDescent="0.3">
      <c r="A287" t="s">
        <v>316</v>
      </c>
      <c r="B287">
        <v>28</v>
      </c>
      <c r="C287" t="s">
        <v>24</v>
      </c>
      <c r="D287" t="s">
        <v>26</v>
      </c>
      <c r="E287" t="s">
        <v>20</v>
      </c>
      <c r="F287">
        <v>9.75</v>
      </c>
      <c r="G287">
        <v>2.5099999999999998</v>
      </c>
      <c r="H287">
        <v>7.24</v>
      </c>
      <c r="I287">
        <v>5.5</v>
      </c>
      <c r="J287">
        <v>66.2</v>
      </c>
      <c r="K287">
        <v>43</v>
      </c>
      <c r="L287">
        <v>5.3</v>
      </c>
      <c r="M28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8" spans="1:13" x14ac:dyDescent="0.3">
      <c r="A288" t="s">
        <v>317</v>
      </c>
      <c r="B288">
        <v>26</v>
      </c>
      <c r="C288" t="s">
        <v>16</v>
      </c>
      <c r="D288" t="s">
        <v>17</v>
      </c>
      <c r="E288" t="s">
        <v>22</v>
      </c>
      <c r="F288">
        <v>5.03</v>
      </c>
      <c r="G288">
        <v>0.89</v>
      </c>
      <c r="H288">
        <v>4.1399999999999997</v>
      </c>
      <c r="I288">
        <v>6.2</v>
      </c>
      <c r="J288">
        <v>64.599999999999994</v>
      </c>
      <c r="K288">
        <v>224</v>
      </c>
      <c r="L288">
        <v>12.7</v>
      </c>
      <c r="M28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89" spans="1:13" x14ac:dyDescent="0.3">
      <c r="A289" t="s">
        <v>318</v>
      </c>
      <c r="B289">
        <v>25</v>
      </c>
      <c r="C289" t="s">
        <v>16</v>
      </c>
      <c r="D289" t="s">
        <v>17</v>
      </c>
      <c r="E289" t="s">
        <v>22</v>
      </c>
      <c r="F289">
        <v>8.8800000000000008</v>
      </c>
      <c r="G289">
        <v>0.44</v>
      </c>
      <c r="H289">
        <v>8.44</v>
      </c>
      <c r="I289">
        <v>8.4</v>
      </c>
      <c r="J289">
        <v>42.4</v>
      </c>
      <c r="K289">
        <v>86</v>
      </c>
      <c r="L289">
        <v>7.3</v>
      </c>
      <c r="M28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0" spans="1:13" x14ac:dyDescent="0.3">
      <c r="A290" t="s">
        <v>319</v>
      </c>
      <c r="B290">
        <v>36</v>
      </c>
      <c r="C290" t="s">
        <v>16</v>
      </c>
      <c r="D290" t="s">
        <v>17</v>
      </c>
      <c r="E290" t="s">
        <v>20</v>
      </c>
      <c r="F290">
        <v>11.12</v>
      </c>
      <c r="G290">
        <v>1.17</v>
      </c>
      <c r="H290">
        <v>9.9499999999999993</v>
      </c>
      <c r="I290">
        <v>10</v>
      </c>
      <c r="J290">
        <v>47</v>
      </c>
      <c r="K290">
        <v>2</v>
      </c>
      <c r="L290">
        <v>3.1</v>
      </c>
      <c r="M29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1" spans="1:13" x14ac:dyDescent="0.3">
      <c r="A291" t="s">
        <v>320</v>
      </c>
      <c r="B291">
        <v>32</v>
      </c>
      <c r="C291" t="s">
        <v>24</v>
      </c>
      <c r="D291" t="s">
        <v>37</v>
      </c>
      <c r="E291" t="s">
        <v>22</v>
      </c>
      <c r="F291">
        <v>5.35</v>
      </c>
      <c r="G291">
        <v>0.31</v>
      </c>
      <c r="H291">
        <v>5.04</v>
      </c>
      <c r="I291">
        <v>6.5</v>
      </c>
      <c r="J291">
        <v>75.7</v>
      </c>
      <c r="K291">
        <v>140</v>
      </c>
      <c r="L291">
        <v>10.6</v>
      </c>
      <c r="M29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2" spans="1:13" x14ac:dyDescent="0.3">
      <c r="A292" t="s">
        <v>321</v>
      </c>
      <c r="B292">
        <v>24</v>
      </c>
      <c r="C292" t="s">
        <v>16</v>
      </c>
      <c r="D292" t="s">
        <v>26</v>
      </c>
      <c r="E292" t="s">
        <v>18</v>
      </c>
      <c r="F292">
        <v>10.38</v>
      </c>
      <c r="G292">
        <v>4.83</v>
      </c>
      <c r="H292">
        <v>5.55</v>
      </c>
      <c r="I292">
        <v>9.5</v>
      </c>
      <c r="J292">
        <v>49.2</v>
      </c>
      <c r="K292">
        <v>33</v>
      </c>
      <c r="L292">
        <v>1.8</v>
      </c>
      <c r="M29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3" spans="1:13" x14ac:dyDescent="0.3">
      <c r="A293" t="s">
        <v>322</v>
      </c>
      <c r="B293">
        <v>37</v>
      </c>
      <c r="C293" t="s">
        <v>16</v>
      </c>
      <c r="D293" t="s">
        <v>17</v>
      </c>
      <c r="E293" t="s">
        <v>22</v>
      </c>
      <c r="F293">
        <v>10.79</v>
      </c>
      <c r="G293">
        <v>0.54</v>
      </c>
      <c r="H293">
        <v>10.25</v>
      </c>
      <c r="I293">
        <v>7.8</v>
      </c>
      <c r="J293">
        <v>46.8</v>
      </c>
      <c r="K293">
        <v>143</v>
      </c>
      <c r="L293">
        <v>5.9</v>
      </c>
      <c r="M29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4" spans="1:13" x14ac:dyDescent="0.3">
      <c r="A294" t="s">
        <v>323</v>
      </c>
      <c r="B294">
        <v>32</v>
      </c>
      <c r="C294" t="s">
        <v>16</v>
      </c>
      <c r="D294" t="s">
        <v>37</v>
      </c>
      <c r="E294" t="s">
        <v>20</v>
      </c>
      <c r="F294">
        <v>7.38</v>
      </c>
      <c r="G294">
        <v>1.53</v>
      </c>
      <c r="H294">
        <v>5.85</v>
      </c>
      <c r="I294">
        <v>9.8000000000000007</v>
      </c>
      <c r="J294">
        <v>49.5</v>
      </c>
      <c r="K294">
        <v>269</v>
      </c>
      <c r="L294">
        <v>6.9</v>
      </c>
      <c r="M29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5" spans="1:13" x14ac:dyDescent="0.3">
      <c r="A295" t="s">
        <v>324</v>
      </c>
      <c r="B295">
        <v>36</v>
      </c>
      <c r="C295" t="s">
        <v>24</v>
      </c>
      <c r="D295" t="s">
        <v>17</v>
      </c>
      <c r="E295" t="s">
        <v>18</v>
      </c>
      <c r="F295">
        <v>10.130000000000001</v>
      </c>
      <c r="G295">
        <v>2.61</v>
      </c>
      <c r="H295">
        <v>7.52</v>
      </c>
      <c r="I295">
        <v>8.6</v>
      </c>
      <c r="J295">
        <v>40.6</v>
      </c>
      <c r="K295">
        <v>45</v>
      </c>
      <c r="L295">
        <v>7.3</v>
      </c>
      <c r="M29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6" spans="1:13" x14ac:dyDescent="0.3">
      <c r="A296" t="s">
        <v>325</v>
      </c>
      <c r="B296">
        <v>35</v>
      </c>
      <c r="C296" t="s">
        <v>24</v>
      </c>
      <c r="D296" t="s">
        <v>17</v>
      </c>
      <c r="E296" t="s">
        <v>22</v>
      </c>
      <c r="F296">
        <v>6.4</v>
      </c>
      <c r="G296">
        <v>0.54</v>
      </c>
      <c r="H296">
        <v>5.86</v>
      </c>
      <c r="I296">
        <v>5.5</v>
      </c>
      <c r="J296">
        <v>66.900000000000006</v>
      </c>
      <c r="K296">
        <v>145</v>
      </c>
      <c r="L296">
        <v>8.6</v>
      </c>
      <c r="M29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7" spans="1:13" x14ac:dyDescent="0.3">
      <c r="A297" t="s">
        <v>326</v>
      </c>
      <c r="B297">
        <v>23</v>
      </c>
      <c r="C297" t="s">
        <v>16</v>
      </c>
      <c r="D297" t="s">
        <v>17</v>
      </c>
      <c r="E297" t="s">
        <v>18</v>
      </c>
      <c r="F297">
        <v>8.6199999999999992</v>
      </c>
      <c r="G297">
        <v>3.15</v>
      </c>
      <c r="H297">
        <v>5.47</v>
      </c>
      <c r="I297">
        <v>10</v>
      </c>
      <c r="J297">
        <v>38.6</v>
      </c>
      <c r="K297">
        <v>0</v>
      </c>
      <c r="L297">
        <v>15.5</v>
      </c>
      <c r="M29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8" spans="1:13" x14ac:dyDescent="0.3">
      <c r="A298" t="s">
        <v>327</v>
      </c>
      <c r="B298">
        <v>25</v>
      </c>
      <c r="C298" t="s">
        <v>16</v>
      </c>
      <c r="D298" t="s">
        <v>17</v>
      </c>
      <c r="E298" t="s">
        <v>22</v>
      </c>
      <c r="F298">
        <v>11.05</v>
      </c>
      <c r="G298">
        <v>0.81</v>
      </c>
      <c r="H298">
        <v>10.24</v>
      </c>
      <c r="I298">
        <v>10</v>
      </c>
      <c r="J298">
        <v>34.4</v>
      </c>
      <c r="K298">
        <v>121</v>
      </c>
      <c r="L298">
        <v>6.4</v>
      </c>
      <c r="M29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299" spans="1:13" x14ac:dyDescent="0.3">
      <c r="A299" t="s">
        <v>328</v>
      </c>
      <c r="B299">
        <v>35</v>
      </c>
      <c r="C299" t="s">
        <v>24</v>
      </c>
      <c r="D299" t="s">
        <v>31</v>
      </c>
      <c r="E299" t="s">
        <v>18</v>
      </c>
      <c r="F299">
        <v>8.5500000000000007</v>
      </c>
      <c r="G299">
        <v>2.65</v>
      </c>
      <c r="H299">
        <v>5.9</v>
      </c>
      <c r="I299">
        <v>8.6999999999999993</v>
      </c>
      <c r="J299">
        <v>47.8</v>
      </c>
      <c r="K299">
        <v>47</v>
      </c>
      <c r="L299">
        <v>0</v>
      </c>
      <c r="M29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0" spans="1:13" x14ac:dyDescent="0.3">
      <c r="A300" t="s">
        <v>329</v>
      </c>
      <c r="B300">
        <v>34</v>
      </c>
      <c r="C300" t="s">
        <v>16</v>
      </c>
      <c r="D300" t="s">
        <v>17</v>
      </c>
      <c r="E300" t="s">
        <v>22</v>
      </c>
      <c r="F300">
        <v>10.36</v>
      </c>
      <c r="G300">
        <v>0.52</v>
      </c>
      <c r="H300">
        <v>9.84</v>
      </c>
      <c r="I300">
        <v>9.8000000000000007</v>
      </c>
      <c r="J300">
        <v>46.3</v>
      </c>
      <c r="K300">
        <v>54</v>
      </c>
      <c r="L300">
        <v>0</v>
      </c>
      <c r="M30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1" spans="1:13" x14ac:dyDescent="0.3">
      <c r="A301" t="s">
        <v>330</v>
      </c>
      <c r="B301">
        <v>29</v>
      </c>
      <c r="C301" t="s">
        <v>16</v>
      </c>
      <c r="D301" t="s">
        <v>29</v>
      </c>
      <c r="E301" t="s">
        <v>22</v>
      </c>
      <c r="F301">
        <v>6.82</v>
      </c>
      <c r="G301">
        <v>0.98</v>
      </c>
      <c r="H301">
        <v>5.84</v>
      </c>
      <c r="I301">
        <v>9.1</v>
      </c>
      <c r="J301">
        <v>48.1</v>
      </c>
      <c r="K301">
        <v>39</v>
      </c>
      <c r="L301">
        <v>8.1999999999999993</v>
      </c>
      <c r="M30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2" spans="1:13" x14ac:dyDescent="0.3">
      <c r="A302" t="s">
        <v>331</v>
      </c>
      <c r="B302">
        <v>30</v>
      </c>
      <c r="C302" t="s">
        <v>16</v>
      </c>
      <c r="D302" t="s">
        <v>26</v>
      </c>
      <c r="E302" t="s">
        <v>18</v>
      </c>
      <c r="F302">
        <v>12.63</v>
      </c>
      <c r="G302">
        <v>1.68</v>
      </c>
      <c r="H302">
        <v>10.95</v>
      </c>
      <c r="I302">
        <v>10</v>
      </c>
      <c r="J302">
        <v>41.9</v>
      </c>
      <c r="K302">
        <v>133</v>
      </c>
      <c r="L302">
        <v>1.9</v>
      </c>
      <c r="M30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3" spans="1:13" x14ac:dyDescent="0.3">
      <c r="A303" t="s">
        <v>332</v>
      </c>
      <c r="B303">
        <v>40</v>
      </c>
      <c r="C303" t="s">
        <v>16</v>
      </c>
      <c r="D303" t="s">
        <v>26</v>
      </c>
      <c r="E303" t="s">
        <v>22</v>
      </c>
      <c r="F303">
        <v>10.07</v>
      </c>
      <c r="G303">
        <v>1.71</v>
      </c>
      <c r="H303">
        <v>8.36</v>
      </c>
      <c r="I303">
        <v>10</v>
      </c>
      <c r="J303">
        <v>43.4</v>
      </c>
      <c r="K303">
        <v>173</v>
      </c>
      <c r="L303">
        <v>6.5</v>
      </c>
      <c r="M30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4" spans="1:13" x14ac:dyDescent="0.3">
      <c r="A304" t="s">
        <v>333</v>
      </c>
      <c r="B304">
        <v>25</v>
      </c>
      <c r="C304" t="s">
        <v>16</v>
      </c>
      <c r="D304" t="s">
        <v>26</v>
      </c>
      <c r="E304" t="s">
        <v>20</v>
      </c>
      <c r="F304">
        <v>10.44</v>
      </c>
      <c r="G304">
        <v>1.87</v>
      </c>
      <c r="H304">
        <v>8.57</v>
      </c>
      <c r="I304">
        <v>7.1</v>
      </c>
      <c r="J304">
        <v>52.2</v>
      </c>
      <c r="K304">
        <v>94</v>
      </c>
      <c r="L304">
        <v>5.5</v>
      </c>
      <c r="M30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5" spans="1:13" x14ac:dyDescent="0.3">
      <c r="A305" t="s">
        <v>334</v>
      </c>
      <c r="B305">
        <v>34</v>
      </c>
      <c r="C305" t="s">
        <v>16</v>
      </c>
      <c r="D305" t="s">
        <v>17</v>
      </c>
      <c r="E305" t="s">
        <v>20</v>
      </c>
      <c r="F305">
        <v>7.77</v>
      </c>
      <c r="G305">
        <v>1.38</v>
      </c>
      <c r="H305">
        <v>6.39</v>
      </c>
      <c r="I305">
        <v>9.4</v>
      </c>
      <c r="J305">
        <v>49.8</v>
      </c>
      <c r="K305">
        <v>53</v>
      </c>
      <c r="L305">
        <v>5.6</v>
      </c>
      <c r="M30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6" spans="1:13" x14ac:dyDescent="0.3">
      <c r="A306" t="s">
        <v>335</v>
      </c>
      <c r="B306">
        <v>28</v>
      </c>
      <c r="C306" t="s">
        <v>16</v>
      </c>
      <c r="D306" t="s">
        <v>17</v>
      </c>
      <c r="E306" t="s">
        <v>18</v>
      </c>
      <c r="F306">
        <v>8.4499999999999993</v>
      </c>
      <c r="G306">
        <v>2.96</v>
      </c>
      <c r="H306">
        <v>5.49</v>
      </c>
      <c r="I306">
        <v>6.3</v>
      </c>
      <c r="J306">
        <v>60.2</v>
      </c>
      <c r="K306">
        <v>218</v>
      </c>
      <c r="L306">
        <v>0</v>
      </c>
      <c r="M30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7" spans="1:13" x14ac:dyDescent="0.3">
      <c r="A307" t="s">
        <v>336</v>
      </c>
      <c r="B307">
        <v>28</v>
      </c>
      <c r="C307" t="s">
        <v>24</v>
      </c>
      <c r="D307" t="s">
        <v>29</v>
      </c>
      <c r="E307" t="s">
        <v>18</v>
      </c>
      <c r="F307">
        <v>7.77</v>
      </c>
      <c r="G307">
        <v>3.57</v>
      </c>
      <c r="H307">
        <v>4.2</v>
      </c>
      <c r="I307">
        <v>9.1</v>
      </c>
      <c r="J307">
        <v>56.6</v>
      </c>
      <c r="K307">
        <v>58</v>
      </c>
      <c r="L307">
        <v>5.7</v>
      </c>
      <c r="M30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8" spans="1:13" x14ac:dyDescent="0.3">
      <c r="A308" t="s">
        <v>337</v>
      </c>
      <c r="B308">
        <v>38</v>
      </c>
      <c r="C308" t="s">
        <v>16</v>
      </c>
      <c r="D308" t="s">
        <v>17</v>
      </c>
      <c r="E308" t="s">
        <v>18</v>
      </c>
      <c r="F308">
        <v>8.56</v>
      </c>
      <c r="G308">
        <v>3.17</v>
      </c>
      <c r="H308">
        <v>5.39</v>
      </c>
      <c r="I308">
        <v>9.1</v>
      </c>
      <c r="J308">
        <v>49.7</v>
      </c>
      <c r="K308">
        <v>0</v>
      </c>
      <c r="L308">
        <v>11.4</v>
      </c>
      <c r="M30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09" spans="1:13" x14ac:dyDescent="0.3">
      <c r="A309" t="s">
        <v>338</v>
      </c>
      <c r="B309">
        <v>36</v>
      </c>
      <c r="C309" t="s">
        <v>24</v>
      </c>
      <c r="D309" t="s">
        <v>37</v>
      </c>
      <c r="E309" t="s">
        <v>20</v>
      </c>
      <c r="F309">
        <v>5.18</v>
      </c>
      <c r="G309">
        <v>0.73</v>
      </c>
      <c r="H309">
        <v>4.45</v>
      </c>
      <c r="I309">
        <v>5.0999999999999996</v>
      </c>
      <c r="J309">
        <v>60.8</v>
      </c>
      <c r="K309">
        <v>162</v>
      </c>
      <c r="L309">
        <v>8.1999999999999993</v>
      </c>
      <c r="M30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0" spans="1:13" x14ac:dyDescent="0.3">
      <c r="A310" t="s">
        <v>339</v>
      </c>
      <c r="B310">
        <v>36</v>
      </c>
      <c r="C310" t="s">
        <v>24</v>
      </c>
      <c r="D310" t="s">
        <v>26</v>
      </c>
      <c r="E310" t="s">
        <v>20</v>
      </c>
      <c r="F310">
        <v>9.5500000000000007</v>
      </c>
      <c r="G310">
        <v>1.33</v>
      </c>
      <c r="H310">
        <v>8.2200000000000006</v>
      </c>
      <c r="I310">
        <v>10</v>
      </c>
      <c r="J310">
        <v>49.6</v>
      </c>
      <c r="K310">
        <v>26</v>
      </c>
      <c r="L310">
        <v>0</v>
      </c>
      <c r="M31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1" spans="1:13" x14ac:dyDescent="0.3">
      <c r="A311" t="s">
        <v>340</v>
      </c>
      <c r="B311">
        <v>40</v>
      </c>
      <c r="C311" t="s">
        <v>16</v>
      </c>
      <c r="D311" t="s">
        <v>29</v>
      </c>
      <c r="E311" t="s">
        <v>22</v>
      </c>
      <c r="F311">
        <v>9.73</v>
      </c>
      <c r="G311">
        <v>1.55</v>
      </c>
      <c r="H311">
        <v>8.18</v>
      </c>
      <c r="I311">
        <v>10</v>
      </c>
      <c r="J311">
        <v>38.1</v>
      </c>
      <c r="K311">
        <v>174</v>
      </c>
      <c r="L311">
        <v>7.8</v>
      </c>
      <c r="M31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2" spans="1:13" x14ac:dyDescent="0.3">
      <c r="A312" t="s">
        <v>341</v>
      </c>
      <c r="B312">
        <v>30</v>
      </c>
      <c r="C312" t="s">
        <v>24</v>
      </c>
      <c r="D312" t="s">
        <v>17</v>
      </c>
      <c r="E312" t="s">
        <v>20</v>
      </c>
      <c r="F312">
        <v>6.71</v>
      </c>
      <c r="G312">
        <v>1.59</v>
      </c>
      <c r="H312">
        <v>5.12</v>
      </c>
      <c r="I312">
        <v>8.3000000000000007</v>
      </c>
      <c r="J312">
        <v>55.3</v>
      </c>
      <c r="K312">
        <v>91</v>
      </c>
      <c r="L312">
        <v>16.2</v>
      </c>
      <c r="M31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3" spans="1:13" x14ac:dyDescent="0.3">
      <c r="A313" t="s">
        <v>342</v>
      </c>
      <c r="B313">
        <v>35</v>
      </c>
      <c r="C313" t="s">
        <v>16</v>
      </c>
      <c r="D313" t="s">
        <v>17</v>
      </c>
      <c r="E313" t="s">
        <v>22</v>
      </c>
      <c r="F313">
        <v>7.17</v>
      </c>
      <c r="G313">
        <v>1.87</v>
      </c>
      <c r="H313">
        <v>5.3</v>
      </c>
      <c r="I313">
        <v>5</v>
      </c>
      <c r="J313">
        <v>80.2</v>
      </c>
      <c r="K313">
        <v>160</v>
      </c>
      <c r="L313">
        <v>9.1999999999999993</v>
      </c>
      <c r="M31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4" spans="1:13" x14ac:dyDescent="0.3">
      <c r="A314" t="s">
        <v>343</v>
      </c>
      <c r="B314">
        <v>27</v>
      </c>
      <c r="C314" t="s">
        <v>24</v>
      </c>
      <c r="D314" t="s">
        <v>29</v>
      </c>
      <c r="E314" t="s">
        <v>22</v>
      </c>
      <c r="F314">
        <v>7.77</v>
      </c>
      <c r="G314">
        <v>0.39</v>
      </c>
      <c r="H314">
        <v>7.38</v>
      </c>
      <c r="I314">
        <v>6.3</v>
      </c>
      <c r="J314">
        <v>72.7</v>
      </c>
      <c r="K314">
        <v>208</v>
      </c>
      <c r="L314">
        <v>0</v>
      </c>
      <c r="M31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5" spans="1:13" x14ac:dyDescent="0.3">
      <c r="A315" t="s">
        <v>344</v>
      </c>
      <c r="B315">
        <v>32</v>
      </c>
      <c r="C315" t="s">
        <v>16</v>
      </c>
      <c r="D315" t="s">
        <v>17</v>
      </c>
      <c r="E315" t="s">
        <v>18</v>
      </c>
      <c r="F315">
        <v>11.71</v>
      </c>
      <c r="G315">
        <v>3.83</v>
      </c>
      <c r="H315">
        <v>7.88</v>
      </c>
      <c r="I315">
        <v>10</v>
      </c>
      <c r="J315">
        <v>40.6</v>
      </c>
      <c r="K315">
        <v>4</v>
      </c>
      <c r="L315">
        <v>10.3</v>
      </c>
      <c r="M31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6" spans="1:13" x14ac:dyDescent="0.3">
      <c r="A316" t="s">
        <v>345</v>
      </c>
      <c r="B316">
        <v>28</v>
      </c>
      <c r="C316" t="s">
        <v>16</v>
      </c>
      <c r="D316" t="s">
        <v>17</v>
      </c>
      <c r="E316" t="s">
        <v>20</v>
      </c>
      <c r="F316">
        <v>10.02</v>
      </c>
      <c r="G316">
        <v>0.5</v>
      </c>
      <c r="H316">
        <v>9.52</v>
      </c>
      <c r="I316">
        <v>10</v>
      </c>
      <c r="J316">
        <v>40.799999999999997</v>
      </c>
      <c r="K316">
        <v>57</v>
      </c>
      <c r="L316">
        <v>0</v>
      </c>
      <c r="M31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7" spans="1:13" x14ac:dyDescent="0.3">
      <c r="A317" t="s">
        <v>346</v>
      </c>
      <c r="B317">
        <v>30</v>
      </c>
      <c r="C317" t="s">
        <v>16</v>
      </c>
      <c r="D317" t="s">
        <v>26</v>
      </c>
      <c r="E317" t="s">
        <v>18</v>
      </c>
      <c r="F317">
        <v>13.4</v>
      </c>
      <c r="G317">
        <v>4.99</v>
      </c>
      <c r="H317">
        <v>8.41</v>
      </c>
      <c r="I317">
        <v>10</v>
      </c>
      <c r="J317">
        <v>43.6</v>
      </c>
      <c r="K317">
        <v>72</v>
      </c>
      <c r="L317">
        <v>14.1</v>
      </c>
      <c r="M31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8" spans="1:13" x14ac:dyDescent="0.3">
      <c r="A318" t="s">
        <v>347</v>
      </c>
      <c r="B318">
        <v>34</v>
      </c>
      <c r="C318" t="s">
        <v>28</v>
      </c>
      <c r="D318" t="s">
        <v>26</v>
      </c>
      <c r="E318" t="s">
        <v>20</v>
      </c>
      <c r="F318">
        <v>9.01</v>
      </c>
      <c r="G318">
        <v>0.45</v>
      </c>
      <c r="H318">
        <v>8.56</v>
      </c>
      <c r="I318">
        <v>6.2</v>
      </c>
      <c r="J318">
        <v>63.7</v>
      </c>
      <c r="K318">
        <v>214</v>
      </c>
      <c r="L318">
        <v>10.6</v>
      </c>
      <c r="M31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19" spans="1:13" x14ac:dyDescent="0.3">
      <c r="A319" t="s">
        <v>348</v>
      </c>
      <c r="B319">
        <v>23</v>
      </c>
      <c r="C319" t="s">
        <v>16</v>
      </c>
      <c r="D319" t="s">
        <v>37</v>
      </c>
      <c r="E319" t="s">
        <v>20</v>
      </c>
      <c r="F319">
        <v>3.64</v>
      </c>
      <c r="G319">
        <v>0.28999999999999998</v>
      </c>
      <c r="H319">
        <v>3.35</v>
      </c>
      <c r="I319">
        <v>3</v>
      </c>
      <c r="J319">
        <v>88.8</v>
      </c>
      <c r="K319">
        <v>87</v>
      </c>
      <c r="L319">
        <v>0</v>
      </c>
      <c r="M31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0" spans="1:13" x14ac:dyDescent="0.3">
      <c r="A320" t="s">
        <v>349</v>
      </c>
      <c r="B320">
        <v>46</v>
      </c>
      <c r="C320" t="s">
        <v>24</v>
      </c>
      <c r="D320" t="s">
        <v>17</v>
      </c>
      <c r="E320" t="s">
        <v>20</v>
      </c>
      <c r="F320">
        <v>9.17</v>
      </c>
      <c r="G320">
        <v>0.46</v>
      </c>
      <c r="H320">
        <v>8.7100000000000009</v>
      </c>
      <c r="I320">
        <v>7.7</v>
      </c>
      <c r="J320">
        <v>54.7</v>
      </c>
      <c r="K320">
        <v>69</v>
      </c>
      <c r="L320">
        <v>8.1</v>
      </c>
      <c r="M32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1" spans="1:13" x14ac:dyDescent="0.3">
      <c r="A321" t="s">
        <v>350</v>
      </c>
      <c r="B321">
        <v>21</v>
      </c>
      <c r="C321" t="s">
        <v>16</v>
      </c>
      <c r="D321" t="s">
        <v>17</v>
      </c>
      <c r="E321" t="s">
        <v>18</v>
      </c>
      <c r="F321">
        <v>11.2</v>
      </c>
      <c r="G321">
        <v>4.76</v>
      </c>
      <c r="H321">
        <v>6.44</v>
      </c>
      <c r="I321">
        <v>8.5</v>
      </c>
      <c r="J321">
        <v>40.799999999999997</v>
      </c>
      <c r="K321">
        <v>120</v>
      </c>
      <c r="L321">
        <v>7.7</v>
      </c>
      <c r="M32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2" spans="1:13" x14ac:dyDescent="0.3">
      <c r="A322" t="s">
        <v>351</v>
      </c>
      <c r="B322">
        <v>20</v>
      </c>
      <c r="C322" t="s">
        <v>24</v>
      </c>
      <c r="D322" t="s">
        <v>17</v>
      </c>
      <c r="E322" t="s">
        <v>22</v>
      </c>
      <c r="F322">
        <v>9.7799999999999994</v>
      </c>
      <c r="G322">
        <v>1.49</v>
      </c>
      <c r="H322">
        <v>8.2899999999999991</v>
      </c>
      <c r="I322">
        <v>8.6999999999999993</v>
      </c>
      <c r="J322">
        <v>49.5</v>
      </c>
      <c r="K322">
        <v>54</v>
      </c>
      <c r="L322">
        <v>1.9</v>
      </c>
      <c r="M32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3" spans="1:13" x14ac:dyDescent="0.3">
      <c r="A323" t="s">
        <v>352</v>
      </c>
      <c r="B323">
        <v>39</v>
      </c>
      <c r="C323" t="s">
        <v>16</v>
      </c>
      <c r="D323" t="s">
        <v>26</v>
      </c>
      <c r="E323" t="s">
        <v>18</v>
      </c>
      <c r="F323">
        <v>8.1199999999999992</v>
      </c>
      <c r="G323">
        <v>5.53</v>
      </c>
      <c r="H323">
        <v>2.59</v>
      </c>
      <c r="I323">
        <v>8.1999999999999993</v>
      </c>
      <c r="J323">
        <v>52.5</v>
      </c>
      <c r="K323">
        <v>124</v>
      </c>
      <c r="L323">
        <v>5.7</v>
      </c>
      <c r="M32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4" spans="1:13" x14ac:dyDescent="0.3">
      <c r="A324" t="s">
        <v>353</v>
      </c>
      <c r="B324">
        <v>36</v>
      </c>
      <c r="C324" t="s">
        <v>24</v>
      </c>
      <c r="D324" t="s">
        <v>26</v>
      </c>
      <c r="E324" t="s">
        <v>18</v>
      </c>
      <c r="F324">
        <v>9.61</v>
      </c>
      <c r="G324">
        <v>3.45</v>
      </c>
      <c r="H324">
        <v>6.16</v>
      </c>
      <c r="I324">
        <v>3.1</v>
      </c>
      <c r="J324">
        <v>84</v>
      </c>
      <c r="K324">
        <v>0</v>
      </c>
      <c r="L324">
        <v>2</v>
      </c>
      <c r="M32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5" spans="1:13" x14ac:dyDescent="0.3">
      <c r="A325" t="s">
        <v>354</v>
      </c>
      <c r="B325">
        <v>34</v>
      </c>
      <c r="C325" t="s">
        <v>16</v>
      </c>
      <c r="D325" t="s">
        <v>17</v>
      </c>
      <c r="E325" t="s">
        <v>18</v>
      </c>
      <c r="F325">
        <v>13.08</v>
      </c>
      <c r="G325">
        <v>2.0499999999999998</v>
      </c>
      <c r="H325">
        <v>11.03</v>
      </c>
      <c r="I325">
        <v>10</v>
      </c>
      <c r="J325">
        <v>40.5</v>
      </c>
      <c r="K325">
        <v>237</v>
      </c>
      <c r="L325">
        <v>7.9</v>
      </c>
      <c r="M32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6" spans="1:13" x14ac:dyDescent="0.3">
      <c r="A326" t="s">
        <v>355</v>
      </c>
      <c r="B326">
        <v>35</v>
      </c>
      <c r="C326" t="s">
        <v>16</v>
      </c>
      <c r="D326" t="s">
        <v>17</v>
      </c>
      <c r="E326" t="s">
        <v>20</v>
      </c>
      <c r="F326">
        <v>10.7</v>
      </c>
      <c r="G326">
        <v>2.1800000000000002</v>
      </c>
      <c r="H326">
        <v>8.52</v>
      </c>
      <c r="I326">
        <v>8</v>
      </c>
      <c r="J326">
        <v>64</v>
      </c>
      <c r="K326">
        <v>2</v>
      </c>
      <c r="L326">
        <v>3.1</v>
      </c>
      <c r="M32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7" spans="1:13" x14ac:dyDescent="0.3">
      <c r="A327" t="s">
        <v>356</v>
      </c>
      <c r="B327">
        <v>29</v>
      </c>
      <c r="C327" t="s">
        <v>16</v>
      </c>
      <c r="D327" t="s">
        <v>26</v>
      </c>
      <c r="E327" t="s">
        <v>18</v>
      </c>
      <c r="F327">
        <v>10.31</v>
      </c>
      <c r="G327">
        <v>6.31</v>
      </c>
      <c r="H327">
        <v>4</v>
      </c>
      <c r="I327">
        <v>10</v>
      </c>
      <c r="J327">
        <v>38.4</v>
      </c>
      <c r="K327">
        <v>73</v>
      </c>
      <c r="L327">
        <v>0</v>
      </c>
      <c r="M32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8" spans="1:13" x14ac:dyDescent="0.3">
      <c r="A328" t="s">
        <v>357</v>
      </c>
      <c r="B328">
        <v>22</v>
      </c>
      <c r="C328" t="s">
        <v>16</v>
      </c>
      <c r="D328" t="s">
        <v>17</v>
      </c>
      <c r="E328" t="s">
        <v>22</v>
      </c>
      <c r="F328">
        <v>10.6</v>
      </c>
      <c r="G328">
        <v>1.33</v>
      </c>
      <c r="H328">
        <v>9.27</v>
      </c>
      <c r="I328">
        <v>8.1</v>
      </c>
      <c r="J328">
        <v>62.5</v>
      </c>
      <c r="K328">
        <v>88</v>
      </c>
      <c r="L328">
        <v>5.3</v>
      </c>
      <c r="M32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29" spans="1:13" x14ac:dyDescent="0.3">
      <c r="A329" t="s">
        <v>358</v>
      </c>
      <c r="B329">
        <v>30</v>
      </c>
      <c r="C329" t="s">
        <v>24</v>
      </c>
      <c r="D329" t="s">
        <v>26</v>
      </c>
      <c r="E329" t="s">
        <v>18</v>
      </c>
      <c r="F329">
        <v>11.1</v>
      </c>
      <c r="G329">
        <v>3.99</v>
      </c>
      <c r="H329">
        <v>7.11</v>
      </c>
      <c r="I329">
        <v>8.1999999999999993</v>
      </c>
      <c r="J329">
        <v>57.4</v>
      </c>
      <c r="K329">
        <v>225</v>
      </c>
      <c r="L329">
        <v>10</v>
      </c>
      <c r="M32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0" spans="1:13" x14ac:dyDescent="0.3">
      <c r="A330" t="s">
        <v>359</v>
      </c>
      <c r="B330">
        <v>24</v>
      </c>
      <c r="C330" t="s">
        <v>16</v>
      </c>
      <c r="D330" t="s">
        <v>17</v>
      </c>
      <c r="E330" t="s">
        <v>22</v>
      </c>
      <c r="F330">
        <v>10.119999999999999</v>
      </c>
      <c r="G330">
        <v>2.4</v>
      </c>
      <c r="H330">
        <v>7.72</v>
      </c>
      <c r="I330">
        <v>10</v>
      </c>
      <c r="J330">
        <v>47.5</v>
      </c>
      <c r="K330">
        <v>2</v>
      </c>
      <c r="L330">
        <v>6.6</v>
      </c>
      <c r="M33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1" spans="1:13" x14ac:dyDescent="0.3">
      <c r="A331" t="s">
        <v>360</v>
      </c>
      <c r="B331">
        <v>37</v>
      </c>
      <c r="C331" t="s">
        <v>24</v>
      </c>
      <c r="D331" t="s">
        <v>17</v>
      </c>
      <c r="E331" t="s">
        <v>22</v>
      </c>
      <c r="F331">
        <v>6.85</v>
      </c>
      <c r="G331">
        <v>0.41</v>
      </c>
      <c r="H331">
        <v>6.44</v>
      </c>
      <c r="I331">
        <v>7.8</v>
      </c>
      <c r="J331">
        <v>53.8</v>
      </c>
      <c r="K331">
        <v>259</v>
      </c>
      <c r="L331">
        <v>17.5</v>
      </c>
      <c r="M33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2" spans="1:13" x14ac:dyDescent="0.3">
      <c r="A332" t="s">
        <v>361</v>
      </c>
      <c r="B332">
        <v>28</v>
      </c>
      <c r="C332" t="s">
        <v>16</v>
      </c>
      <c r="D332" t="s">
        <v>17</v>
      </c>
      <c r="E332" t="s">
        <v>22</v>
      </c>
      <c r="F332">
        <v>9.7200000000000006</v>
      </c>
      <c r="G332">
        <v>0.67</v>
      </c>
      <c r="H332">
        <v>9.0500000000000007</v>
      </c>
      <c r="I332">
        <v>10</v>
      </c>
      <c r="J332">
        <v>44.8</v>
      </c>
      <c r="K332">
        <v>152</v>
      </c>
      <c r="L332">
        <v>4.4000000000000004</v>
      </c>
      <c r="M33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3" spans="1:13" x14ac:dyDescent="0.3">
      <c r="A333" t="s">
        <v>362</v>
      </c>
      <c r="B333">
        <v>23</v>
      </c>
      <c r="C333" t="s">
        <v>24</v>
      </c>
      <c r="D333" t="s">
        <v>17</v>
      </c>
      <c r="E333" t="s">
        <v>20</v>
      </c>
      <c r="F333">
        <v>10.6</v>
      </c>
      <c r="G333">
        <v>2.29</v>
      </c>
      <c r="H333">
        <v>8.31</v>
      </c>
      <c r="I333">
        <v>9.6999999999999993</v>
      </c>
      <c r="J333">
        <v>31.4</v>
      </c>
      <c r="K333">
        <v>120</v>
      </c>
      <c r="L333">
        <v>9.5</v>
      </c>
      <c r="M33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4" spans="1:13" x14ac:dyDescent="0.3">
      <c r="A334" t="s">
        <v>363</v>
      </c>
      <c r="B334">
        <v>27</v>
      </c>
      <c r="C334" t="s">
        <v>16</v>
      </c>
      <c r="D334" t="s">
        <v>17</v>
      </c>
      <c r="E334" t="s">
        <v>22</v>
      </c>
      <c r="F334">
        <v>11.54</v>
      </c>
      <c r="G334">
        <v>0.95</v>
      </c>
      <c r="H334">
        <v>10.59</v>
      </c>
      <c r="I334">
        <v>10</v>
      </c>
      <c r="J334">
        <v>39.1</v>
      </c>
      <c r="K334">
        <v>18</v>
      </c>
      <c r="L334">
        <v>6.7</v>
      </c>
      <c r="M33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5" spans="1:13" x14ac:dyDescent="0.3">
      <c r="A335" t="s">
        <v>364</v>
      </c>
      <c r="B335">
        <v>33</v>
      </c>
      <c r="C335" t="s">
        <v>16</v>
      </c>
      <c r="D335" t="s">
        <v>26</v>
      </c>
      <c r="E335" t="s">
        <v>20</v>
      </c>
      <c r="F335">
        <v>11.28</v>
      </c>
      <c r="G335">
        <v>2.5</v>
      </c>
      <c r="H335">
        <v>8.7799999999999994</v>
      </c>
      <c r="I335">
        <v>8.3000000000000007</v>
      </c>
      <c r="J335">
        <v>62.5</v>
      </c>
      <c r="K335">
        <v>132</v>
      </c>
      <c r="L335">
        <v>6.4</v>
      </c>
      <c r="M33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6" spans="1:13" x14ac:dyDescent="0.3">
      <c r="A336" t="s">
        <v>365</v>
      </c>
      <c r="B336">
        <v>25</v>
      </c>
      <c r="C336" t="s">
        <v>24</v>
      </c>
      <c r="D336" t="s">
        <v>26</v>
      </c>
      <c r="E336" t="s">
        <v>20</v>
      </c>
      <c r="F336">
        <v>8.89</v>
      </c>
      <c r="G336">
        <v>0.94</v>
      </c>
      <c r="H336">
        <v>7.95</v>
      </c>
      <c r="I336">
        <v>8.8000000000000007</v>
      </c>
      <c r="J336">
        <v>46.3</v>
      </c>
      <c r="K336">
        <v>52</v>
      </c>
      <c r="L336">
        <v>8.1</v>
      </c>
      <c r="M33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7" spans="1:13" x14ac:dyDescent="0.3">
      <c r="A337" t="s">
        <v>366</v>
      </c>
      <c r="B337">
        <v>23</v>
      </c>
      <c r="C337" t="s">
        <v>16</v>
      </c>
      <c r="D337" t="s">
        <v>17</v>
      </c>
      <c r="E337" t="s">
        <v>18</v>
      </c>
      <c r="F337">
        <v>9.14</v>
      </c>
      <c r="G337">
        <v>2.87</v>
      </c>
      <c r="H337">
        <v>6.27</v>
      </c>
      <c r="I337">
        <v>9.9</v>
      </c>
      <c r="J337">
        <v>38.4</v>
      </c>
      <c r="K337">
        <v>188</v>
      </c>
      <c r="L337">
        <v>4.7</v>
      </c>
      <c r="M33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8" spans="1:13" x14ac:dyDescent="0.3">
      <c r="A338" t="s">
        <v>367</v>
      </c>
      <c r="B338">
        <v>31</v>
      </c>
      <c r="C338" t="s">
        <v>16</v>
      </c>
      <c r="D338" t="s">
        <v>17</v>
      </c>
      <c r="E338" t="s">
        <v>20</v>
      </c>
      <c r="F338">
        <v>9.43</v>
      </c>
      <c r="G338">
        <v>0.47</v>
      </c>
      <c r="H338">
        <v>8.9600000000000009</v>
      </c>
      <c r="I338">
        <v>8.6</v>
      </c>
      <c r="J338">
        <v>54.5</v>
      </c>
      <c r="K338">
        <v>34</v>
      </c>
      <c r="L338">
        <v>10.8</v>
      </c>
      <c r="M33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39" spans="1:13" x14ac:dyDescent="0.3">
      <c r="A339" t="s">
        <v>368</v>
      </c>
      <c r="B339">
        <v>31</v>
      </c>
      <c r="C339" t="s">
        <v>24</v>
      </c>
      <c r="D339" t="s">
        <v>17</v>
      </c>
      <c r="E339" t="s">
        <v>18</v>
      </c>
      <c r="F339">
        <v>4.96</v>
      </c>
      <c r="G339">
        <v>2.68</v>
      </c>
      <c r="H339">
        <v>2.2799999999999998</v>
      </c>
      <c r="I339">
        <v>8.1999999999999993</v>
      </c>
      <c r="J339">
        <v>57.1</v>
      </c>
      <c r="K339">
        <v>121</v>
      </c>
      <c r="L339">
        <v>1.4</v>
      </c>
      <c r="M33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0" spans="1:13" x14ac:dyDescent="0.3">
      <c r="A340" t="s">
        <v>369</v>
      </c>
      <c r="B340">
        <v>25</v>
      </c>
      <c r="C340" t="s">
        <v>24</v>
      </c>
      <c r="D340" t="s">
        <v>17</v>
      </c>
      <c r="E340" t="s">
        <v>20</v>
      </c>
      <c r="F340">
        <v>4.4800000000000004</v>
      </c>
      <c r="G340">
        <v>1.1100000000000001</v>
      </c>
      <c r="H340">
        <v>3.37</v>
      </c>
      <c r="I340">
        <v>5.3</v>
      </c>
      <c r="J340">
        <v>67.099999999999994</v>
      </c>
      <c r="K340">
        <v>90</v>
      </c>
      <c r="L340">
        <v>4.8</v>
      </c>
      <c r="M34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1" spans="1:13" x14ac:dyDescent="0.3">
      <c r="A341" t="s">
        <v>370</v>
      </c>
      <c r="B341">
        <v>26</v>
      </c>
      <c r="C341" t="s">
        <v>16</v>
      </c>
      <c r="D341" t="s">
        <v>17</v>
      </c>
      <c r="E341" t="s">
        <v>22</v>
      </c>
      <c r="F341">
        <v>6.34</v>
      </c>
      <c r="G341">
        <v>0.78</v>
      </c>
      <c r="H341">
        <v>5.56</v>
      </c>
      <c r="I341">
        <v>6.8</v>
      </c>
      <c r="J341">
        <v>67.5</v>
      </c>
      <c r="K341">
        <v>49</v>
      </c>
      <c r="L341">
        <v>7</v>
      </c>
      <c r="M34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2" spans="1:13" x14ac:dyDescent="0.3">
      <c r="A342" t="s">
        <v>371</v>
      </c>
      <c r="B342">
        <v>31</v>
      </c>
      <c r="C342" t="s">
        <v>16</v>
      </c>
      <c r="D342" t="s">
        <v>29</v>
      </c>
      <c r="E342" t="s">
        <v>20</v>
      </c>
      <c r="F342">
        <v>10.42</v>
      </c>
      <c r="G342">
        <v>2.58</v>
      </c>
      <c r="H342">
        <v>7.84</v>
      </c>
      <c r="I342">
        <v>10</v>
      </c>
      <c r="J342">
        <v>58.2</v>
      </c>
      <c r="K342">
        <v>148</v>
      </c>
      <c r="L342">
        <v>15.3</v>
      </c>
      <c r="M34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3" spans="1:13" x14ac:dyDescent="0.3">
      <c r="A343" t="s">
        <v>372</v>
      </c>
      <c r="B343">
        <v>18</v>
      </c>
      <c r="C343" t="s">
        <v>24</v>
      </c>
      <c r="D343" t="s">
        <v>17</v>
      </c>
      <c r="E343" t="s">
        <v>20</v>
      </c>
      <c r="F343">
        <v>6.85</v>
      </c>
      <c r="G343">
        <v>0.44</v>
      </c>
      <c r="H343">
        <v>6.41</v>
      </c>
      <c r="I343">
        <v>9</v>
      </c>
      <c r="J343">
        <v>58.6</v>
      </c>
      <c r="K343">
        <v>148</v>
      </c>
      <c r="L343">
        <v>9.6</v>
      </c>
      <c r="M34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4" spans="1:13" x14ac:dyDescent="0.3">
      <c r="A344" t="s">
        <v>373</v>
      </c>
      <c r="B344">
        <v>18</v>
      </c>
      <c r="C344" t="s">
        <v>16</v>
      </c>
      <c r="D344" t="s">
        <v>26</v>
      </c>
      <c r="E344" t="s">
        <v>20</v>
      </c>
      <c r="F344">
        <v>9.39</v>
      </c>
      <c r="G344">
        <v>1.37</v>
      </c>
      <c r="H344">
        <v>8.02</v>
      </c>
      <c r="I344">
        <v>7.4</v>
      </c>
      <c r="J344">
        <v>61.3</v>
      </c>
      <c r="K344">
        <v>180</v>
      </c>
      <c r="L344">
        <v>7.5</v>
      </c>
      <c r="M34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5" spans="1:13" x14ac:dyDescent="0.3">
      <c r="A345" t="s">
        <v>374</v>
      </c>
      <c r="B345">
        <v>24</v>
      </c>
      <c r="C345" t="s">
        <v>16</v>
      </c>
      <c r="D345" t="s">
        <v>17</v>
      </c>
      <c r="E345" t="s">
        <v>20</v>
      </c>
      <c r="F345">
        <v>6.67</v>
      </c>
      <c r="G345">
        <v>0.53</v>
      </c>
      <c r="H345">
        <v>6.14</v>
      </c>
      <c r="I345">
        <v>8</v>
      </c>
      <c r="J345">
        <v>58.6</v>
      </c>
      <c r="K345">
        <v>0</v>
      </c>
      <c r="L345">
        <v>3.5</v>
      </c>
      <c r="M34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6" spans="1:13" x14ac:dyDescent="0.3">
      <c r="A346" t="s">
        <v>375</v>
      </c>
      <c r="B346">
        <v>28</v>
      </c>
      <c r="C346" t="s">
        <v>16</v>
      </c>
      <c r="D346" t="s">
        <v>26</v>
      </c>
      <c r="E346" t="s">
        <v>18</v>
      </c>
      <c r="F346">
        <v>10.19</v>
      </c>
      <c r="G346">
        <v>5.48</v>
      </c>
      <c r="H346">
        <v>4.71</v>
      </c>
      <c r="I346">
        <v>10</v>
      </c>
      <c r="J346">
        <v>43.7</v>
      </c>
      <c r="K346">
        <v>170</v>
      </c>
      <c r="L346">
        <v>8.1</v>
      </c>
      <c r="M34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7" spans="1:13" x14ac:dyDescent="0.3">
      <c r="A347" t="s">
        <v>376</v>
      </c>
      <c r="B347">
        <v>32</v>
      </c>
      <c r="C347" t="s">
        <v>24</v>
      </c>
      <c r="D347" t="s">
        <v>26</v>
      </c>
      <c r="E347" t="s">
        <v>18</v>
      </c>
      <c r="F347">
        <v>13.59</v>
      </c>
      <c r="G347">
        <v>5.85</v>
      </c>
      <c r="H347">
        <v>7.74</v>
      </c>
      <c r="I347">
        <v>10</v>
      </c>
      <c r="J347">
        <v>23.2</v>
      </c>
      <c r="K347">
        <v>253</v>
      </c>
      <c r="L347">
        <v>6</v>
      </c>
      <c r="M34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8" spans="1:13" x14ac:dyDescent="0.3">
      <c r="A348" t="s">
        <v>378</v>
      </c>
      <c r="B348">
        <v>36</v>
      </c>
      <c r="C348" t="s">
        <v>16</v>
      </c>
      <c r="D348" t="s">
        <v>26</v>
      </c>
      <c r="E348" t="s">
        <v>18</v>
      </c>
      <c r="F348">
        <v>14.02</v>
      </c>
      <c r="G348">
        <v>7.36</v>
      </c>
      <c r="H348">
        <v>6.66</v>
      </c>
      <c r="I348">
        <v>10</v>
      </c>
      <c r="J348">
        <v>34.1</v>
      </c>
      <c r="K348">
        <v>210</v>
      </c>
      <c r="L348">
        <v>1.8</v>
      </c>
      <c r="M34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49" spans="1:13" x14ac:dyDescent="0.3">
      <c r="A349" t="s">
        <v>379</v>
      </c>
      <c r="B349">
        <v>28</v>
      </c>
      <c r="C349" t="s">
        <v>16</v>
      </c>
      <c r="D349" t="s">
        <v>17</v>
      </c>
      <c r="E349" t="s">
        <v>22</v>
      </c>
      <c r="F349">
        <v>7.06</v>
      </c>
      <c r="G349">
        <v>1.54</v>
      </c>
      <c r="H349">
        <v>5.52</v>
      </c>
      <c r="I349">
        <v>9.1</v>
      </c>
      <c r="J349">
        <v>39.799999999999997</v>
      </c>
      <c r="K349">
        <v>96</v>
      </c>
      <c r="L349">
        <v>5.6</v>
      </c>
      <c r="M34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0" spans="1:13" x14ac:dyDescent="0.3">
      <c r="A350" t="s">
        <v>380</v>
      </c>
      <c r="B350">
        <v>29</v>
      </c>
      <c r="C350" t="s">
        <v>16</v>
      </c>
      <c r="D350" t="s">
        <v>17</v>
      </c>
      <c r="E350" t="s">
        <v>22</v>
      </c>
      <c r="F350">
        <v>9.8699999999999992</v>
      </c>
      <c r="G350">
        <v>2.41</v>
      </c>
      <c r="H350">
        <v>7.46</v>
      </c>
      <c r="I350">
        <v>8.8000000000000007</v>
      </c>
      <c r="J350">
        <v>41.1</v>
      </c>
      <c r="K350">
        <v>2</v>
      </c>
      <c r="L350">
        <v>7.1</v>
      </c>
      <c r="M35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1" spans="1:13" x14ac:dyDescent="0.3">
      <c r="A351" t="s">
        <v>381</v>
      </c>
      <c r="B351">
        <v>21</v>
      </c>
      <c r="C351" t="s">
        <v>24</v>
      </c>
      <c r="D351" t="s">
        <v>17</v>
      </c>
      <c r="E351" t="s">
        <v>20</v>
      </c>
      <c r="F351">
        <v>6.97</v>
      </c>
      <c r="G351">
        <v>0.35</v>
      </c>
      <c r="H351">
        <v>6.62</v>
      </c>
      <c r="I351">
        <v>7.1</v>
      </c>
      <c r="J351">
        <v>47.3</v>
      </c>
      <c r="K351">
        <v>90</v>
      </c>
      <c r="L351">
        <v>6.5</v>
      </c>
      <c r="M35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2" spans="1:13" x14ac:dyDescent="0.3">
      <c r="A352" t="s">
        <v>382</v>
      </c>
      <c r="B352">
        <v>29</v>
      </c>
      <c r="C352" t="s">
        <v>16</v>
      </c>
      <c r="D352" t="s">
        <v>17</v>
      </c>
      <c r="E352" t="s">
        <v>22</v>
      </c>
      <c r="F352">
        <v>12.02</v>
      </c>
      <c r="G352">
        <v>2.21</v>
      </c>
      <c r="H352">
        <v>9.81</v>
      </c>
      <c r="I352">
        <v>10</v>
      </c>
      <c r="J352">
        <v>39.700000000000003</v>
      </c>
      <c r="K352">
        <v>159</v>
      </c>
      <c r="L352">
        <v>11.7</v>
      </c>
      <c r="M35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3" spans="1:13" x14ac:dyDescent="0.3">
      <c r="A353" t="s">
        <v>383</v>
      </c>
      <c r="B353">
        <v>27</v>
      </c>
      <c r="C353" t="s">
        <v>16</v>
      </c>
      <c r="D353" t="s">
        <v>26</v>
      </c>
      <c r="E353" t="s">
        <v>20</v>
      </c>
      <c r="F353">
        <v>6.9</v>
      </c>
      <c r="G353">
        <v>0.77</v>
      </c>
      <c r="H353">
        <v>6.13</v>
      </c>
      <c r="I353">
        <v>7.4</v>
      </c>
      <c r="J353">
        <v>63</v>
      </c>
      <c r="K353">
        <v>56</v>
      </c>
      <c r="L353">
        <v>1.5</v>
      </c>
      <c r="M35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4" spans="1:13" x14ac:dyDescent="0.3">
      <c r="A354" t="s">
        <v>384</v>
      </c>
      <c r="B354">
        <v>32</v>
      </c>
      <c r="C354" t="s">
        <v>24</v>
      </c>
      <c r="D354" t="s">
        <v>17</v>
      </c>
      <c r="E354" t="s">
        <v>18</v>
      </c>
      <c r="F354">
        <v>5.74</v>
      </c>
      <c r="G354">
        <v>1.57</v>
      </c>
      <c r="H354">
        <v>4.17</v>
      </c>
      <c r="I354">
        <v>4.3</v>
      </c>
      <c r="J354">
        <v>84.8</v>
      </c>
      <c r="K354">
        <v>83</v>
      </c>
      <c r="L354">
        <v>12.2</v>
      </c>
      <c r="M35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5" spans="1:13" x14ac:dyDescent="0.3">
      <c r="A355" t="s">
        <v>385</v>
      </c>
      <c r="B355">
        <v>23</v>
      </c>
      <c r="C355" t="s">
        <v>16</v>
      </c>
      <c r="D355" t="s">
        <v>17</v>
      </c>
      <c r="E355" t="s">
        <v>20</v>
      </c>
      <c r="F355">
        <v>10.97</v>
      </c>
      <c r="G355">
        <v>1.43</v>
      </c>
      <c r="H355">
        <v>9.5399999999999991</v>
      </c>
      <c r="I355">
        <v>9.5</v>
      </c>
      <c r="J355">
        <v>46</v>
      </c>
      <c r="K355">
        <v>130</v>
      </c>
      <c r="L355">
        <v>12.3</v>
      </c>
      <c r="M35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6" spans="1:13" x14ac:dyDescent="0.3">
      <c r="A356" t="s">
        <v>386</v>
      </c>
      <c r="B356">
        <v>34</v>
      </c>
      <c r="C356" t="s">
        <v>24</v>
      </c>
      <c r="D356" t="s">
        <v>26</v>
      </c>
      <c r="E356" t="s">
        <v>20</v>
      </c>
      <c r="F356">
        <v>10.24</v>
      </c>
      <c r="G356">
        <v>0.51</v>
      </c>
      <c r="H356">
        <v>9.73</v>
      </c>
      <c r="I356">
        <v>10</v>
      </c>
      <c r="J356">
        <v>36.9</v>
      </c>
      <c r="K356">
        <v>99</v>
      </c>
      <c r="L356">
        <v>6.6</v>
      </c>
      <c r="M35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7" spans="1:13" x14ac:dyDescent="0.3">
      <c r="A357" t="s">
        <v>387</v>
      </c>
      <c r="B357">
        <v>42</v>
      </c>
      <c r="C357" t="s">
        <v>16</v>
      </c>
      <c r="D357" t="s">
        <v>17</v>
      </c>
      <c r="E357" t="s">
        <v>22</v>
      </c>
      <c r="F357">
        <v>6.26</v>
      </c>
      <c r="G357">
        <v>0.94</v>
      </c>
      <c r="H357">
        <v>5.32</v>
      </c>
      <c r="I357">
        <v>3.8</v>
      </c>
      <c r="J357">
        <v>67.8</v>
      </c>
      <c r="K357">
        <v>167</v>
      </c>
      <c r="L357">
        <v>2.7</v>
      </c>
      <c r="M35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8" spans="1:13" x14ac:dyDescent="0.3">
      <c r="A358" t="s">
        <v>388</v>
      </c>
      <c r="B358">
        <v>29</v>
      </c>
      <c r="C358" t="s">
        <v>16</v>
      </c>
      <c r="D358" t="s">
        <v>26</v>
      </c>
      <c r="E358" t="s">
        <v>22</v>
      </c>
      <c r="F358">
        <v>11.49</v>
      </c>
      <c r="G358">
        <v>0.75</v>
      </c>
      <c r="H358">
        <v>10.74</v>
      </c>
      <c r="I358">
        <v>10</v>
      </c>
      <c r="J358">
        <v>30.2</v>
      </c>
      <c r="K358">
        <v>105</v>
      </c>
      <c r="L358">
        <v>7.6</v>
      </c>
      <c r="M35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59" spans="1:13" x14ac:dyDescent="0.3">
      <c r="A359" t="s">
        <v>389</v>
      </c>
      <c r="B359">
        <v>33</v>
      </c>
      <c r="C359" t="s">
        <v>16</v>
      </c>
      <c r="D359" t="s">
        <v>26</v>
      </c>
      <c r="E359" t="s">
        <v>20</v>
      </c>
      <c r="F359">
        <v>10.39</v>
      </c>
      <c r="G359">
        <v>0.52</v>
      </c>
      <c r="H359">
        <v>9.8699999999999992</v>
      </c>
      <c r="I359">
        <v>10</v>
      </c>
      <c r="J359">
        <v>34.799999999999997</v>
      </c>
      <c r="K359">
        <v>131</v>
      </c>
      <c r="L359">
        <v>8.3000000000000007</v>
      </c>
      <c r="M35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0" spans="1:13" x14ac:dyDescent="0.3">
      <c r="A360" t="s">
        <v>390</v>
      </c>
      <c r="B360">
        <v>35</v>
      </c>
      <c r="C360" t="s">
        <v>24</v>
      </c>
      <c r="D360" t="s">
        <v>17</v>
      </c>
      <c r="E360" t="s">
        <v>18</v>
      </c>
      <c r="F360">
        <v>8.7200000000000006</v>
      </c>
      <c r="G360">
        <v>2.36</v>
      </c>
      <c r="H360">
        <v>6.36</v>
      </c>
      <c r="I360">
        <v>10</v>
      </c>
      <c r="J360">
        <v>39.6</v>
      </c>
      <c r="K360">
        <v>78</v>
      </c>
      <c r="L360">
        <v>6.7</v>
      </c>
      <c r="M36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1" spans="1:13" x14ac:dyDescent="0.3">
      <c r="A361" t="s">
        <v>391</v>
      </c>
      <c r="B361">
        <v>26</v>
      </c>
      <c r="C361" t="s">
        <v>24</v>
      </c>
      <c r="D361" t="s">
        <v>26</v>
      </c>
      <c r="E361" t="s">
        <v>18</v>
      </c>
      <c r="F361">
        <v>11.58</v>
      </c>
      <c r="G361">
        <v>5.71</v>
      </c>
      <c r="H361">
        <v>5.87</v>
      </c>
      <c r="I361">
        <v>9.9</v>
      </c>
      <c r="J361">
        <v>52.1</v>
      </c>
      <c r="K361">
        <v>103</v>
      </c>
      <c r="L361">
        <v>5.7</v>
      </c>
      <c r="M36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2" spans="1:13" x14ac:dyDescent="0.3">
      <c r="A362" t="s">
        <v>392</v>
      </c>
      <c r="B362">
        <v>31</v>
      </c>
      <c r="C362" t="s">
        <v>24</v>
      </c>
      <c r="D362" t="s">
        <v>17</v>
      </c>
      <c r="E362" t="s">
        <v>22</v>
      </c>
      <c r="F362">
        <v>7.73</v>
      </c>
      <c r="G362">
        <v>1.52</v>
      </c>
      <c r="H362">
        <v>6.21</v>
      </c>
      <c r="I362">
        <v>7.1</v>
      </c>
      <c r="J362">
        <v>51.9</v>
      </c>
      <c r="K362">
        <v>47</v>
      </c>
      <c r="L362">
        <v>16.399999999999999</v>
      </c>
      <c r="M36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3" spans="1:13" x14ac:dyDescent="0.3">
      <c r="A363" t="s">
        <v>393</v>
      </c>
      <c r="B363">
        <v>30</v>
      </c>
      <c r="C363" t="s">
        <v>16</v>
      </c>
      <c r="D363" t="s">
        <v>17</v>
      </c>
      <c r="E363" t="s">
        <v>18</v>
      </c>
      <c r="F363">
        <v>11.64</v>
      </c>
      <c r="G363">
        <v>6.11</v>
      </c>
      <c r="H363">
        <v>5.53</v>
      </c>
      <c r="I363">
        <v>10</v>
      </c>
      <c r="J363">
        <v>48.6</v>
      </c>
      <c r="K363">
        <v>178</v>
      </c>
      <c r="L363">
        <v>2</v>
      </c>
      <c r="M36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4" spans="1:13" x14ac:dyDescent="0.3">
      <c r="A364" t="s">
        <v>394</v>
      </c>
      <c r="B364">
        <v>30</v>
      </c>
      <c r="C364" t="s">
        <v>24</v>
      </c>
      <c r="D364" t="s">
        <v>29</v>
      </c>
      <c r="E364" t="s">
        <v>18</v>
      </c>
      <c r="F364">
        <v>8.06</v>
      </c>
      <c r="G364">
        <v>2.81</v>
      </c>
      <c r="H364">
        <v>5.25</v>
      </c>
      <c r="I364">
        <v>6.8</v>
      </c>
      <c r="J364">
        <v>63.3</v>
      </c>
      <c r="K364">
        <v>65</v>
      </c>
      <c r="L364">
        <v>0</v>
      </c>
      <c r="M36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5" spans="1:13" x14ac:dyDescent="0.3">
      <c r="A365" t="s">
        <v>395</v>
      </c>
      <c r="B365">
        <v>23</v>
      </c>
      <c r="C365" t="s">
        <v>16</v>
      </c>
      <c r="D365" t="s">
        <v>26</v>
      </c>
      <c r="E365" t="s">
        <v>18</v>
      </c>
      <c r="F365">
        <v>9.0500000000000007</v>
      </c>
      <c r="G365">
        <v>3.83</v>
      </c>
      <c r="H365">
        <v>5.22</v>
      </c>
      <c r="I365">
        <v>7.4</v>
      </c>
      <c r="J365">
        <v>54.9</v>
      </c>
      <c r="K365">
        <v>179</v>
      </c>
      <c r="L365">
        <v>9.5</v>
      </c>
      <c r="M36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6" spans="1:13" x14ac:dyDescent="0.3">
      <c r="A366" t="s">
        <v>396</v>
      </c>
      <c r="B366">
        <v>30</v>
      </c>
      <c r="C366" t="s">
        <v>16</v>
      </c>
      <c r="D366" t="s">
        <v>26</v>
      </c>
      <c r="E366" t="s">
        <v>18</v>
      </c>
      <c r="F366">
        <v>12.03</v>
      </c>
      <c r="G366">
        <v>4.84</v>
      </c>
      <c r="H366">
        <v>7.19</v>
      </c>
      <c r="I366">
        <v>10</v>
      </c>
      <c r="J366">
        <v>46.8</v>
      </c>
      <c r="K366">
        <v>69</v>
      </c>
      <c r="L366">
        <v>13.9</v>
      </c>
      <c r="M36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7" spans="1:13" x14ac:dyDescent="0.3">
      <c r="A367" t="s">
        <v>397</v>
      </c>
      <c r="B367">
        <v>33</v>
      </c>
      <c r="C367" t="s">
        <v>24</v>
      </c>
      <c r="D367" t="s">
        <v>26</v>
      </c>
      <c r="E367" t="s">
        <v>18</v>
      </c>
      <c r="F367">
        <v>11.21</v>
      </c>
      <c r="G367">
        <v>4.8099999999999996</v>
      </c>
      <c r="H367">
        <v>6.4</v>
      </c>
      <c r="I367">
        <v>10</v>
      </c>
      <c r="J367">
        <v>34.1</v>
      </c>
      <c r="K367">
        <v>106</v>
      </c>
      <c r="L367">
        <v>7.9</v>
      </c>
      <c r="M36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8" spans="1:13" x14ac:dyDescent="0.3">
      <c r="A368" t="s">
        <v>398</v>
      </c>
      <c r="B368">
        <v>41</v>
      </c>
      <c r="C368" t="s">
        <v>16</v>
      </c>
      <c r="D368" t="s">
        <v>17</v>
      </c>
      <c r="E368" t="s">
        <v>20</v>
      </c>
      <c r="F368">
        <v>10.37</v>
      </c>
      <c r="G368">
        <v>0.81</v>
      </c>
      <c r="H368">
        <v>9.56</v>
      </c>
      <c r="I368">
        <v>10</v>
      </c>
      <c r="J368">
        <v>45</v>
      </c>
      <c r="K368">
        <v>67</v>
      </c>
      <c r="L368">
        <v>1.8</v>
      </c>
      <c r="M36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69" spans="1:13" x14ac:dyDescent="0.3">
      <c r="A369" t="s">
        <v>399</v>
      </c>
      <c r="B369">
        <v>37</v>
      </c>
      <c r="C369" t="s">
        <v>16</v>
      </c>
      <c r="D369" t="s">
        <v>17</v>
      </c>
      <c r="E369" t="s">
        <v>22</v>
      </c>
      <c r="F369">
        <v>5.98</v>
      </c>
      <c r="G369">
        <v>0.5</v>
      </c>
      <c r="H369">
        <v>5.48</v>
      </c>
      <c r="I369">
        <v>5.6</v>
      </c>
      <c r="J369">
        <v>72.5</v>
      </c>
      <c r="K369">
        <v>55</v>
      </c>
      <c r="L369">
        <v>5</v>
      </c>
      <c r="M36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0" spans="1:13" x14ac:dyDescent="0.3">
      <c r="A370" t="s">
        <v>400</v>
      </c>
      <c r="B370">
        <v>47</v>
      </c>
      <c r="C370" t="s">
        <v>16</v>
      </c>
      <c r="D370" t="s">
        <v>26</v>
      </c>
      <c r="E370" t="s">
        <v>20</v>
      </c>
      <c r="F370">
        <v>7.77</v>
      </c>
      <c r="G370">
        <v>0.96</v>
      </c>
      <c r="H370">
        <v>6.81</v>
      </c>
      <c r="I370">
        <v>10</v>
      </c>
      <c r="J370">
        <v>44.3</v>
      </c>
      <c r="K370">
        <v>0</v>
      </c>
      <c r="L370">
        <v>0</v>
      </c>
      <c r="M37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1" spans="1:13" x14ac:dyDescent="0.3">
      <c r="A371" t="s">
        <v>401</v>
      </c>
      <c r="B371">
        <v>23</v>
      </c>
      <c r="C371" t="s">
        <v>16</v>
      </c>
      <c r="D371" t="s">
        <v>37</v>
      </c>
      <c r="E371" t="s">
        <v>22</v>
      </c>
      <c r="F371">
        <v>10.19</v>
      </c>
      <c r="G371">
        <v>2.64</v>
      </c>
      <c r="H371">
        <v>7.55</v>
      </c>
      <c r="I371">
        <v>8</v>
      </c>
      <c r="J371">
        <v>56</v>
      </c>
      <c r="K371">
        <v>19</v>
      </c>
      <c r="L371">
        <v>11.1</v>
      </c>
      <c r="M37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2" spans="1:13" x14ac:dyDescent="0.3">
      <c r="A372" t="s">
        <v>402</v>
      </c>
      <c r="B372">
        <v>36</v>
      </c>
      <c r="C372" t="s">
        <v>16</v>
      </c>
      <c r="D372" t="s">
        <v>26</v>
      </c>
      <c r="E372" t="s">
        <v>18</v>
      </c>
      <c r="F372">
        <v>11.61</v>
      </c>
      <c r="G372">
        <v>5.33</v>
      </c>
      <c r="H372">
        <v>6.28</v>
      </c>
      <c r="I372">
        <v>8.1999999999999993</v>
      </c>
      <c r="J372">
        <v>59.1</v>
      </c>
      <c r="K372">
        <v>69</v>
      </c>
      <c r="L372">
        <v>0</v>
      </c>
      <c r="M37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3" spans="1:13" x14ac:dyDescent="0.3">
      <c r="A373" t="s">
        <v>403</v>
      </c>
      <c r="B373">
        <v>31</v>
      </c>
      <c r="C373" t="s">
        <v>24</v>
      </c>
      <c r="D373" t="s">
        <v>17</v>
      </c>
      <c r="E373" t="s">
        <v>22</v>
      </c>
      <c r="F373">
        <v>6.03</v>
      </c>
      <c r="G373">
        <v>0.79</v>
      </c>
      <c r="H373">
        <v>5.24</v>
      </c>
      <c r="I373">
        <v>3.2</v>
      </c>
      <c r="J373">
        <v>76.5</v>
      </c>
      <c r="K373">
        <v>137</v>
      </c>
      <c r="L373">
        <v>9.4</v>
      </c>
      <c r="M37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4" spans="1:13" x14ac:dyDescent="0.3">
      <c r="A374" t="s">
        <v>404</v>
      </c>
      <c r="B374">
        <v>47</v>
      </c>
      <c r="C374" t="s">
        <v>16</v>
      </c>
      <c r="D374" t="s">
        <v>17</v>
      </c>
      <c r="E374" t="s">
        <v>22</v>
      </c>
      <c r="F374">
        <v>5</v>
      </c>
      <c r="G374">
        <v>0.67</v>
      </c>
      <c r="H374">
        <v>4.33</v>
      </c>
      <c r="I374">
        <v>6.6</v>
      </c>
      <c r="J374">
        <v>63</v>
      </c>
      <c r="K374">
        <v>207</v>
      </c>
      <c r="L374">
        <v>4.5999999999999996</v>
      </c>
      <c r="M37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5" spans="1:13" x14ac:dyDescent="0.3">
      <c r="A375" t="s">
        <v>405</v>
      </c>
      <c r="B375">
        <v>23</v>
      </c>
      <c r="C375" t="s">
        <v>24</v>
      </c>
      <c r="D375" t="s">
        <v>29</v>
      </c>
      <c r="E375" t="s">
        <v>18</v>
      </c>
      <c r="F375">
        <v>9.6199999999999992</v>
      </c>
      <c r="G375">
        <v>4.12</v>
      </c>
      <c r="H375">
        <v>5.5</v>
      </c>
      <c r="I375">
        <v>8.6999999999999993</v>
      </c>
      <c r="J375">
        <v>56.5</v>
      </c>
      <c r="K375">
        <v>66</v>
      </c>
      <c r="L375">
        <v>9.1999999999999993</v>
      </c>
      <c r="M37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6" spans="1:13" x14ac:dyDescent="0.3">
      <c r="A376" t="s">
        <v>406</v>
      </c>
      <c r="B376">
        <v>23</v>
      </c>
      <c r="C376" t="s">
        <v>24</v>
      </c>
      <c r="D376" t="s">
        <v>17</v>
      </c>
      <c r="E376" t="s">
        <v>22</v>
      </c>
      <c r="F376">
        <v>14.02</v>
      </c>
      <c r="G376">
        <v>3.21</v>
      </c>
      <c r="H376">
        <v>10.81</v>
      </c>
      <c r="I376">
        <v>10</v>
      </c>
      <c r="J376">
        <v>47.3</v>
      </c>
      <c r="K376">
        <v>9</v>
      </c>
      <c r="L376">
        <v>6.6</v>
      </c>
      <c r="M37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7" spans="1:13" x14ac:dyDescent="0.3">
      <c r="A377" t="s">
        <v>407</v>
      </c>
      <c r="B377">
        <v>25</v>
      </c>
      <c r="C377" t="s">
        <v>16</v>
      </c>
      <c r="D377" t="s">
        <v>29</v>
      </c>
      <c r="E377" t="s">
        <v>18</v>
      </c>
      <c r="F377">
        <v>14.07</v>
      </c>
      <c r="G377">
        <v>4.54</v>
      </c>
      <c r="H377">
        <v>9.5299999999999994</v>
      </c>
      <c r="I377">
        <v>10</v>
      </c>
      <c r="J377">
        <v>40.4</v>
      </c>
      <c r="K377">
        <v>0</v>
      </c>
      <c r="L377">
        <v>5.8</v>
      </c>
      <c r="M37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8" spans="1:13" x14ac:dyDescent="0.3">
      <c r="A378" t="s">
        <v>408</v>
      </c>
      <c r="B378">
        <v>16</v>
      </c>
      <c r="C378" t="s">
        <v>16</v>
      </c>
      <c r="D378" t="s">
        <v>17</v>
      </c>
      <c r="E378" t="s">
        <v>22</v>
      </c>
      <c r="F378">
        <v>7.41</v>
      </c>
      <c r="G378">
        <v>1.01</v>
      </c>
      <c r="H378">
        <v>6.4</v>
      </c>
      <c r="I378">
        <v>4.9000000000000004</v>
      </c>
      <c r="J378">
        <v>81</v>
      </c>
      <c r="K378">
        <v>140</v>
      </c>
      <c r="L378">
        <v>7.2</v>
      </c>
      <c r="M37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79" spans="1:13" x14ac:dyDescent="0.3">
      <c r="A379" t="s">
        <v>410</v>
      </c>
      <c r="B379">
        <v>23</v>
      </c>
      <c r="C379" t="s">
        <v>24</v>
      </c>
      <c r="D379" t="s">
        <v>26</v>
      </c>
      <c r="E379" t="s">
        <v>18</v>
      </c>
      <c r="F379">
        <v>10.23</v>
      </c>
      <c r="G379">
        <v>6.7</v>
      </c>
      <c r="H379">
        <v>3.53</v>
      </c>
      <c r="I379">
        <v>10</v>
      </c>
      <c r="J379">
        <v>33.5</v>
      </c>
      <c r="K379">
        <v>182</v>
      </c>
      <c r="L379">
        <v>11.3</v>
      </c>
      <c r="M37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0" spans="1:13" x14ac:dyDescent="0.3">
      <c r="A380" t="s">
        <v>411</v>
      </c>
      <c r="B380">
        <v>31</v>
      </c>
      <c r="C380" t="s">
        <v>16</v>
      </c>
      <c r="D380" t="s">
        <v>29</v>
      </c>
      <c r="E380" t="s">
        <v>18</v>
      </c>
      <c r="F380">
        <v>10.44</v>
      </c>
      <c r="G380">
        <v>3.97</v>
      </c>
      <c r="H380">
        <v>6.47</v>
      </c>
      <c r="I380">
        <v>7.8</v>
      </c>
      <c r="J380">
        <v>50.4</v>
      </c>
      <c r="K380">
        <v>146</v>
      </c>
      <c r="L380">
        <v>6.4</v>
      </c>
      <c r="M38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1" spans="1:13" x14ac:dyDescent="0.3">
      <c r="A381" t="s">
        <v>412</v>
      </c>
      <c r="B381">
        <v>32</v>
      </c>
      <c r="C381" t="s">
        <v>24</v>
      </c>
      <c r="D381" t="s">
        <v>17</v>
      </c>
      <c r="E381" t="s">
        <v>20</v>
      </c>
      <c r="F381">
        <v>5.84</v>
      </c>
      <c r="G381">
        <v>0.4</v>
      </c>
      <c r="H381">
        <v>5.44</v>
      </c>
      <c r="I381">
        <v>10</v>
      </c>
      <c r="J381">
        <v>43.8</v>
      </c>
      <c r="K381">
        <v>169</v>
      </c>
      <c r="L381">
        <v>6.7</v>
      </c>
      <c r="M38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2" spans="1:13" x14ac:dyDescent="0.3">
      <c r="A382" t="s">
        <v>413</v>
      </c>
      <c r="B382">
        <v>45</v>
      </c>
      <c r="C382" t="s">
        <v>16</v>
      </c>
      <c r="D382" t="s">
        <v>29</v>
      </c>
      <c r="E382" t="s">
        <v>22</v>
      </c>
      <c r="F382">
        <v>8.6199999999999992</v>
      </c>
      <c r="G382">
        <v>1.94</v>
      </c>
      <c r="H382">
        <v>6.68</v>
      </c>
      <c r="I382">
        <v>9.6999999999999993</v>
      </c>
      <c r="J382">
        <v>49.9</v>
      </c>
      <c r="K382">
        <v>233</v>
      </c>
      <c r="L382">
        <v>18.5</v>
      </c>
      <c r="M38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3" spans="1:13" x14ac:dyDescent="0.3">
      <c r="A383" t="s">
        <v>414</v>
      </c>
      <c r="B383">
        <v>37</v>
      </c>
      <c r="C383" t="s">
        <v>24</v>
      </c>
      <c r="D383" t="s">
        <v>17</v>
      </c>
      <c r="E383" t="s">
        <v>18</v>
      </c>
      <c r="F383">
        <v>10.34</v>
      </c>
      <c r="G383">
        <v>3.55</v>
      </c>
      <c r="H383">
        <v>6.79</v>
      </c>
      <c r="I383">
        <v>10</v>
      </c>
      <c r="J383">
        <v>32.799999999999997</v>
      </c>
      <c r="K383">
        <v>123</v>
      </c>
      <c r="L383">
        <v>9.5</v>
      </c>
      <c r="M38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4" spans="1:13" x14ac:dyDescent="0.3">
      <c r="A384" t="s">
        <v>415</v>
      </c>
      <c r="B384">
        <v>25</v>
      </c>
      <c r="C384" t="s">
        <v>16</v>
      </c>
      <c r="D384" t="s">
        <v>17</v>
      </c>
      <c r="E384" t="s">
        <v>20</v>
      </c>
      <c r="F384">
        <v>10.47</v>
      </c>
      <c r="G384">
        <v>1.05</v>
      </c>
      <c r="H384">
        <v>9.42</v>
      </c>
      <c r="I384">
        <v>10</v>
      </c>
      <c r="J384">
        <v>50.4</v>
      </c>
      <c r="K384">
        <v>138</v>
      </c>
      <c r="L384">
        <v>6.3</v>
      </c>
      <c r="M38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5" spans="1:13" x14ac:dyDescent="0.3">
      <c r="A385" t="s">
        <v>416</v>
      </c>
      <c r="B385">
        <v>22</v>
      </c>
      <c r="C385" t="s">
        <v>16</v>
      </c>
      <c r="D385" t="s">
        <v>17</v>
      </c>
      <c r="E385" t="s">
        <v>18</v>
      </c>
      <c r="F385">
        <v>11.79</v>
      </c>
      <c r="G385">
        <v>6.19</v>
      </c>
      <c r="H385">
        <v>5.6</v>
      </c>
      <c r="I385">
        <v>10</v>
      </c>
      <c r="J385">
        <v>36.5</v>
      </c>
      <c r="K385">
        <v>61</v>
      </c>
      <c r="L385">
        <v>11.7</v>
      </c>
      <c r="M385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6" spans="1:13" x14ac:dyDescent="0.3">
      <c r="A386" t="s">
        <v>417</v>
      </c>
      <c r="B386">
        <v>33</v>
      </c>
      <c r="C386" t="s">
        <v>24</v>
      </c>
      <c r="D386" t="s">
        <v>17</v>
      </c>
      <c r="E386" t="s">
        <v>22</v>
      </c>
      <c r="F386">
        <v>7.49</v>
      </c>
      <c r="G386">
        <v>1.21</v>
      </c>
      <c r="H386">
        <v>6.28</v>
      </c>
      <c r="I386">
        <v>7.8</v>
      </c>
      <c r="J386">
        <v>51.2</v>
      </c>
      <c r="K386">
        <v>19</v>
      </c>
      <c r="L386">
        <v>17.600000000000001</v>
      </c>
      <c r="M386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7" spans="1:13" x14ac:dyDescent="0.3">
      <c r="A387" t="s">
        <v>418</v>
      </c>
      <c r="B387">
        <v>19</v>
      </c>
      <c r="C387" t="s">
        <v>24</v>
      </c>
      <c r="D387" t="s">
        <v>26</v>
      </c>
      <c r="E387" t="s">
        <v>20</v>
      </c>
      <c r="F387">
        <v>10.75</v>
      </c>
      <c r="G387">
        <v>0.84</v>
      </c>
      <c r="H387">
        <v>9.91</v>
      </c>
      <c r="I387">
        <v>9.6999999999999993</v>
      </c>
      <c r="J387">
        <v>34.4</v>
      </c>
      <c r="K387">
        <v>40</v>
      </c>
      <c r="L387">
        <v>9</v>
      </c>
      <c r="M387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8" spans="1:13" x14ac:dyDescent="0.3">
      <c r="A388" t="s">
        <v>419</v>
      </c>
      <c r="B388">
        <v>44</v>
      </c>
      <c r="C388" t="s">
        <v>16</v>
      </c>
      <c r="D388" t="s">
        <v>26</v>
      </c>
      <c r="E388" t="s">
        <v>18</v>
      </c>
      <c r="F388">
        <v>10.97</v>
      </c>
      <c r="G388">
        <v>4.21</v>
      </c>
      <c r="H388">
        <v>6.76</v>
      </c>
      <c r="I388">
        <v>10</v>
      </c>
      <c r="J388">
        <v>38.799999999999997</v>
      </c>
      <c r="K388">
        <v>99</v>
      </c>
      <c r="L388">
        <v>9.4</v>
      </c>
      <c r="M388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89" spans="1:13" x14ac:dyDescent="0.3">
      <c r="A389" t="s">
        <v>420</v>
      </c>
      <c r="B389">
        <v>39</v>
      </c>
      <c r="C389" t="s">
        <v>24</v>
      </c>
      <c r="D389" t="s">
        <v>26</v>
      </c>
      <c r="E389" t="s">
        <v>18</v>
      </c>
      <c r="F389">
        <v>14</v>
      </c>
      <c r="G389">
        <v>6.2</v>
      </c>
      <c r="H389">
        <v>7.8</v>
      </c>
      <c r="I389">
        <v>10</v>
      </c>
      <c r="J389">
        <v>43.5</v>
      </c>
      <c r="K389">
        <v>83</v>
      </c>
      <c r="L389">
        <v>0.7</v>
      </c>
      <c r="M389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90" spans="1:13" x14ac:dyDescent="0.3">
      <c r="A390" t="s">
        <v>421</v>
      </c>
      <c r="B390">
        <v>26</v>
      </c>
      <c r="C390" t="s">
        <v>16</v>
      </c>
      <c r="D390" t="s">
        <v>26</v>
      </c>
      <c r="E390" t="s">
        <v>18</v>
      </c>
      <c r="F390">
        <v>6.43</v>
      </c>
      <c r="G390">
        <v>2.99</v>
      </c>
      <c r="H390">
        <v>3.44</v>
      </c>
      <c r="I390">
        <v>5.9</v>
      </c>
      <c r="J390">
        <v>64.599999999999994</v>
      </c>
      <c r="K390">
        <v>252</v>
      </c>
      <c r="L390">
        <v>7.6</v>
      </c>
      <c r="M390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91" spans="1:13" x14ac:dyDescent="0.3">
      <c r="A391" t="s">
        <v>422</v>
      </c>
      <c r="B391">
        <v>16</v>
      </c>
      <c r="C391" t="s">
        <v>24</v>
      </c>
      <c r="D391" t="s">
        <v>29</v>
      </c>
      <c r="E391" t="s">
        <v>18</v>
      </c>
      <c r="F391">
        <v>9.59</v>
      </c>
      <c r="G391">
        <v>5.44</v>
      </c>
      <c r="H391">
        <v>4.1500000000000004</v>
      </c>
      <c r="I391">
        <v>10</v>
      </c>
      <c r="J391">
        <v>47.4</v>
      </c>
      <c r="K391">
        <v>99</v>
      </c>
      <c r="L391">
        <v>7</v>
      </c>
      <c r="M391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92" spans="1:13" x14ac:dyDescent="0.3">
      <c r="A392" t="s">
        <v>423</v>
      </c>
      <c r="B392">
        <v>40</v>
      </c>
      <c r="C392" t="s">
        <v>24</v>
      </c>
      <c r="D392" t="s">
        <v>26</v>
      </c>
      <c r="E392" t="s">
        <v>18</v>
      </c>
      <c r="F392">
        <v>8.7200000000000006</v>
      </c>
      <c r="G392">
        <v>2.36</v>
      </c>
      <c r="H392">
        <v>6.36</v>
      </c>
      <c r="I392">
        <v>9.4</v>
      </c>
      <c r="J392">
        <v>57.3</v>
      </c>
      <c r="K392">
        <v>193</v>
      </c>
      <c r="L392">
        <v>10.1</v>
      </c>
      <c r="M392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93" spans="1:13" x14ac:dyDescent="0.3">
      <c r="A393" t="s">
        <v>424</v>
      </c>
      <c r="B393">
        <v>29</v>
      </c>
      <c r="C393" t="s">
        <v>16</v>
      </c>
      <c r="D393" t="s">
        <v>31</v>
      </c>
      <c r="E393" t="s">
        <v>22</v>
      </c>
      <c r="F393">
        <v>5.04</v>
      </c>
      <c r="G393">
        <v>0.94</v>
      </c>
      <c r="H393">
        <v>4.0999999999999996</v>
      </c>
      <c r="I393">
        <v>7.1</v>
      </c>
      <c r="J393">
        <v>63.6</v>
      </c>
      <c r="K393">
        <v>97</v>
      </c>
      <c r="L393">
        <v>12.1</v>
      </c>
      <c r="M393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  <row r="394" spans="1:13" x14ac:dyDescent="0.3">
      <c r="A394" t="s">
        <v>425</v>
      </c>
      <c r="B394">
        <v>39</v>
      </c>
      <c r="C394" t="s">
        <v>16</v>
      </c>
      <c r="D394" t="s">
        <v>17</v>
      </c>
      <c r="E394" t="s">
        <v>18</v>
      </c>
      <c r="F394">
        <v>8.86</v>
      </c>
      <c r="G394">
        <v>3.82</v>
      </c>
      <c r="H394">
        <v>5.04</v>
      </c>
      <c r="I394">
        <v>10</v>
      </c>
      <c r="J394">
        <v>41.4</v>
      </c>
      <c r="K394">
        <v>88</v>
      </c>
      <c r="L394">
        <v>9.8000000000000007</v>
      </c>
      <c r="M394" t="str">
        <f>IF(OR(ScreenTime_vs_MentalWellness__2[[#This Row],[productivity_0_100]] &lt; 'Productivity IQR'!$D$2, ScreenTime_vs_MentalWellness__2[[#This Row],[productivity_0_100]] &gt; 'Productivity IQR'!$D$3), "remove", "keep")</f>
        <v>keep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0368-7416-4B4B-9967-CDCF60C96446}">
  <dimension ref="A1:AK52"/>
  <sheetViews>
    <sheetView zoomScale="70" zoomScaleNormal="70" workbookViewId="0">
      <selection activeCell="AN17" sqref="AN17"/>
    </sheetView>
  </sheetViews>
  <sheetFormatPr defaultRowHeight="14" x14ac:dyDescent="0.3"/>
  <cols>
    <col min="1" max="1" width="13.4140625" bestFit="1" customWidth="1"/>
    <col min="2" max="3" width="20.4140625" bestFit="1" customWidth="1"/>
    <col min="4" max="4" width="17.83203125" bestFit="1" customWidth="1"/>
    <col min="5" max="5" width="11.75" bestFit="1" customWidth="1"/>
    <col min="6" max="6" width="8.1640625" customWidth="1"/>
    <col min="7" max="37" width="3.25" bestFit="1" customWidth="1"/>
    <col min="38" max="38" width="11.75" bestFit="1" customWidth="1"/>
  </cols>
  <sheetData>
    <row r="1" spans="1:6" x14ac:dyDescent="0.3">
      <c r="A1" s="4" t="s">
        <v>427</v>
      </c>
      <c r="B1" t="s">
        <v>428</v>
      </c>
    </row>
    <row r="2" spans="1:6" x14ac:dyDescent="0.3">
      <c r="A2" s="5" t="s">
        <v>16</v>
      </c>
      <c r="B2">
        <v>217</v>
      </c>
      <c r="D2" t="s">
        <v>16</v>
      </c>
      <c r="E2">
        <v>217</v>
      </c>
      <c r="F2" s="16">
        <f>E2/(SUM($E$2:$E$4))</f>
        <v>0.55216284987277353</v>
      </c>
    </row>
    <row r="3" spans="1:6" x14ac:dyDescent="0.3">
      <c r="A3" s="5" t="s">
        <v>24</v>
      </c>
      <c r="B3">
        <v>168</v>
      </c>
      <c r="D3" t="s">
        <v>24</v>
      </c>
      <c r="E3">
        <v>168</v>
      </c>
      <c r="F3" s="16">
        <f t="shared" ref="F3:F4" si="0">E3/(SUM($E$2:$E$4))</f>
        <v>0.42748091603053434</v>
      </c>
    </row>
    <row r="4" spans="1:6" x14ac:dyDescent="0.3">
      <c r="A4" s="5" t="s">
        <v>28</v>
      </c>
      <c r="B4">
        <v>8</v>
      </c>
      <c r="D4" t="s">
        <v>28</v>
      </c>
      <c r="E4">
        <v>8</v>
      </c>
      <c r="F4" s="16">
        <f t="shared" si="0"/>
        <v>2.0356234096692113E-2</v>
      </c>
    </row>
    <row r="5" spans="1:6" x14ac:dyDescent="0.3">
      <c r="A5" s="5" t="s">
        <v>429</v>
      </c>
      <c r="B5">
        <v>393</v>
      </c>
    </row>
    <row r="7" spans="1:6" x14ac:dyDescent="0.3">
      <c r="A7" s="4" t="s">
        <v>427</v>
      </c>
      <c r="B7" t="s">
        <v>430</v>
      </c>
      <c r="D7" t="s">
        <v>17</v>
      </c>
      <c r="E7">
        <v>205</v>
      </c>
      <c r="F7" s="16">
        <f>E7/SUM($E$7:$E$11)</f>
        <v>0.52162849872773542</v>
      </c>
    </row>
    <row r="8" spans="1:6" x14ac:dyDescent="0.3">
      <c r="A8" s="5" t="s">
        <v>17</v>
      </c>
      <c r="B8">
        <v>205</v>
      </c>
      <c r="D8" t="s">
        <v>26</v>
      </c>
      <c r="E8">
        <v>106</v>
      </c>
      <c r="F8" s="16">
        <f t="shared" ref="F8:F11" si="1">E8/SUM($E$7:$E$11)</f>
        <v>0.26972010178117051</v>
      </c>
    </row>
    <row r="9" spans="1:6" x14ac:dyDescent="0.3">
      <c r="A9" s="5" t="s">
        <v>26</v>
      </c>
      <c r="B9">
        <v>106</v>
      </c>
      <c r="D9" t="s">
        <v>29</v>
      </c>
      <c r="E9">
        <v>43</v>
      </c>
      <c r="F9" s="16">
        <f t="shared" si="1"/>
        <v>0.10941475826972011</v>
      </c>
    </row>
    <row r="10" spans="1:6" x14ac:dyDescent="0.3">
      <c r="A10" s="5" t="s">
        <v>29</v>
      </c>
      <c r="B10">
        <v>43</v>
      </c>
      <c r="D10" t="s">
        <v>37</v>
      </c>
      <c r="E10">
        <v>26</v>
      </c>
      <c r="F10" s="16">
        <f t="shared" si="1"/>
        <v>6.6157760814249358E-2</v>
      </c>
    </row>
    <row r="11" spans="1:6" x14ac:dyDescent="0.3">
      <c r="A11" s="5" t="s">
        <v>37</v>
      </c>
      <c r="B11">
        <v>26</v>
      </c>
      <c r="D11" t="s">
        <v>31</v>
      </c>
      <c r="E11">
        <v>13</v>
      </c>
      <c r="F11" s="16">
        <f t="shared" si="1"/>
        <v>3.3078880407124679E-2</v>
      </c>
    </row>
    <row r="12" spans="1:6" x14ac:dyDescent="0.3">
      <c r="A12" s="5" t="s">
        <v>31</v>
      </c>
      <c r="B12">
        <v>13</v>
      </c>
    </row>
    <row r="13" spans="1:6" x14ac:dyDescent="0.3">
      <c r="A13" s="5" t="s">
        <v>429</v>
      </c>
      <c r="B13">
        <v>393</v>
      </c>
    </row>
    <row r="15" spans="1:6" x14ac:dyDescent="0.3">
      <c r="A15" s="4" t="s">
        <v>427</v>
      </c>
      <c r="B15" t="s">
        <v>431</v>
      </c>
      <c r="D15" s="5" t="s">
        <v>18</v>
      </c>
      <c r="E15">
        <v>150</v>
      </c>
      <c r="F15" s="16">
        <f>E15/SUM($E$15:$E$17)</f>
        <v>0.38167938931297712</v>
      </c>
    </row>
    <row r="16" spans="1:6" x14ac:dyDescent="0.3">
      <c r="A16" s="5" t="s">
        <v>18</v>
      </c>
      <c r="B16">
        <v>150</v>
      </c>
      <c r="D16" s="5" t="s">
        <v>22</v>
      </c>
      <c r="E16">
        <v>141</v>
      </c>
      <c r="F16" s="16">
        <f t="shared" ref="F16:F17" si="2">E16/SUM($E$15:$E$17)</f>
        <v>0.35877862595419846</v>
      </c>
    </row>
    <row r="17" spans="1:37" x14ac:dyDescent="0.3">
      <c r="A17" s="5" t="s">
        <v>22</v>
      </c>
      <c r="B17">
        <v>141</v>
      </c>
      <c r="D17" s="5" t="s">
        <v>20</v>
      </c>
      <c r="E17">
        <v>102</v>
      </c>
      <c r="F17" s="16">
        <f t="shared" si="2"/>
        <v>0.25954198473282442</v>
      </c>
    </row>
    <row r="18" spans="1:37" x14ac:dyDescent="0.3">
      <c r="A18" s="5" t="s">
        <v>20</v>
      </c>
      <c r="B18">
        <v>102</v>
      </c>
    </row>
    <row r="19" spans="1:37" x14ac:dyDescent="0.3">
      <c r="A19" s="5" t="s">
        <v>429</v>
      </c>
      <c r="B19">
        <v>393</v>
      </c>
    </row>
    <row r="21" spans="1:37" x14ac:dyDescent="0.3">
      <c r="A21" t="s">
        <v>432</v>
      </c>
    </row>
    <row r="22" spans="1:37" x14ac:dyDescent="0.3">
      <c r="A22" s="22">
        <v>29.804071246819337</v>
      </c>
    </row>
    <row r="24" spans="1:37" x14ac:dyDescent="0.3">
      <c r="AJ24" t="s">
        <v>433</v>
      </c>
      <c r="AK24" t="s">
        <v>433</v>
      </c>
    </row>
    <row r="37" spans="1:2" ht="14.5" thickBot="1" x14ac:dyDescent="0.35"/>
    <row r="38" spans="1:2" x14ac:dyDescent="0.3">
      <c r="A38" s="26" t="s">
        <v>11</v>
      </c>
      <c r="B38" s="26"/>
    </row>
    <row r="40" spans="1:2" x14ac:dyDescent="0.3">
      <c r="A40" t="s">
        <v>434</v>
      </c>
      <c r="B40" s="15">
        <v>53.518829516539419</v>
      </c>
    </row>
    <row r="41" spans="1:2" x14ac:dyDescent="0.3">
      <c r="A41" t="s">
        <v>435</v>
      </c>
      <c r="B41">
        <v>0.7026414595311673</v>
      </c>
    </row>
    <row r="42" spans="1:2" x14ac:dyDescent="0.3">
      <c r="A42" t="s">
        <v>436</v>
      </c>
      <c r="B42">
        <v>51.5</v>
      </c>
    </row>
    <row r="43" spans="1:2" x14ac:dyDescent="0.3">
      <c r="A43" t="s">
        <v>437</v>
      </c>
      <c r="B43">
        <v>50.4</v>
      </c>
    </row>
    <row r="44" spans="1:2" x14ac:dyDescent="0.3">
      <c r="A44" t="s">
        <v>438</v>
      </c>
      <c r="B44">
        <v>13.929324216065581</v>
      </c>
    </row>
    <row r="45" spans="1:2" x14ac:dyDescent="0.3">
      <c r="A45" t="s">
        <v>439</v>
      </c>
      <c r="B45">
        <v>194.02607311627099</v>
      </c>
    </row>
    <row r="46" spans="1:2" x14ac:dyDescent="0.3">
      <c r="A46" t="s">
        <v>440</v>
      </c>
      <c r="B46">
        <v>-0.14719292000934603</v>
      </c>
    </row>
    <row r="47" spans="1:2" x14ac:dyDescent="0.3">
      <c r="A47" t="s">
        <v>441</v>
      </c>
      <c r="B47">
        <v>0.50425204372568244</v>
      </c>
    </row>
    <row r="48" spans="1:2" x14ac:dyDescent="0.3">
      <c r="A48" t="s">
        <v>442</v>
      </c>
      <c r="B48">
        <v>71.099999999999994</v>
      </c>
    </row>
    <row r="49" spans="1:2" x14ac:dyDescent="0.3">
      <c r="A49" t="s">
        <v>443</v>
      </c>
      <c r="B49">
        <v>20.6</v>
      </c>
    </row>
    <row r="50" spans="1:2" x14ac:dyDescent="0.3">
      <c r="A50" t="s">
        <v>444</v>
      </c>
      <c r="B50">
        <v>91.7</v>
      </c>
    </row>
    <row r="51" spans="1:2" x14ac:dyDescent="0.3">
      <c r="A51" t="s">
        <v>445</v>
      </c>
      <c r="B51">
        <v>21032.899999999991</v>
      </c>
    </row>
    <row r="52" spans="1:2" ht="14.5" thickBot="1" x14ac:dyDescent="0.35">
      <c r="A52" s="1" t="s">
        <v>446</v>
      </c>
      <c r="B52" s="1">
        <v>393</v>
      </c>
    </row>
  </sheetData>
  <mergeCells count="1">
    <mergeCell ref="A38:B38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6970-F69A-4B6B-ABF6-F6BA4147D72A}">
  <dimension ref="A1:D4"/>
  <sheetViews>
    <sheetView topLeftCell="A7" workbookViewId="0">
      <selection activeCell="D3" sqref="D3"/>
    </sheetView>
  </sheetViews>
  <sheetFormatPr defaultRowHeight="14" x14ac:dyDescent="0.3"/>
  <sheetData>
    <row r="1" spans="1:4" x14ac:dyDescent="0.3">
      <c r="A1" t="s">
        <v>491</v>
      </c>
    </row>
    <row r="2" spans="1:4" x14ac:dyDescent="0.3">
      <c r="A2" t="s">
        <v>447</v>
      </c>
      <c r="B2">
        <f>_xlfn.QUARTILE.INC(ScreenTime_vs_MentalWellness[productivity_0_100], 1)</f>
        <v>43.6</v>
      </c>
      <c r="C2" t="s">
        <v>492</v>
      </c>
      <c r="D2">
        <f>B2-B4*1.5</f>
        <v>14.500000000000004</v>
      </c>
    </row>
    <row r="3" spans="1:4" x14ac:dyDescent="0.3">
      <c r="A3" t="s">
        <v>449</v>
      </c>
      <c r="B3">
        <f>_xlfn.QUARTILE.INC(ScreenTime_vs_MentalWellness[productivity_0_100], 3)</f>
        <v>63</v>
      </c>
      <c r="C3" t="s">
        <v>448</v>
      </c>
      <c r="D3">
        <f>B3+1.5*B4</f>
        <v>92.1</v>
      </c>
    </row>
    <row r="4" spans="1:4" x14ac:dyDescent="0.3">
      <c r="A4" t="s">
        <v>451</v>
      </c>
      <c r="B4">
        <f>B3-B2</f>
        <v>19.399999999999999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82A8-28E2-48D9-B2CD-831BCCA2C812}">
  <dimension ref="A1:AB394"/>
  <sheetViews>
    <sheetView topLeftCell="A8" zoomScale="80" zoomScaleNormal="115" workbookViewId="0"/>
  </sheetViews>
  <sheetFormatPr defaultRowHeight="14" x14ac:dyDescent="0.3"/>
  <cols>
    <col min="1" max="1" width="11.25" bestFit="1" customWidth="1"/>
    <col min="2" max="2" width="6.25" bestFit="1" customWidth="1"/>
    <col min="3" max="3" width="15" bestFit="1" customWidth="1"/>
    <col min="4" max="4" width="14.1640625" bestFit="1" customWidth="1"/>
    <col min="5" max="5" width="20" bestFit="1" customWidth="1"/>
    <col min="6" max="6" width="21.4140625" bestFit="1" customWidth="1"/>
    <col min="7" max="7" width="16.83203125" customWidth="1"/>
    <col min="10" max="10" width="14.1640625" customWidth="1"/>
    <col min="12" max="12" width="10.25" customWidth="1"/>
    <col min="13" max="13" width="12.4140625" customWidth="1"/>
    <col min="16" max="17" width="15.25" customWidth="1"/>
    <col min="18" max="18" width="10.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10</v>
      </c>
      <c r="G1" t="s">
        <v>453</v>
      </c>
    </row>
    <row r="2" spans="1:14" ht="14.5" thickBot="1" x14ac:dyDescent="0.35">
      <c r="A2" t="s">
        <v>15</v>
      </c>
      <c r="B2">
        <v>33</v>
      </c>
      <c r="C2" t="s">
        <v>16</v>
      </c>
      <c r="D2" t="s">
        <v>18</v>
      </c>
      <c r="E2">
        <v>44.7</v>
      </c>
      <c r="F2">
        <v>9.3000000000000007</v>
      </c>
      <c r="G2" s="14">
        <f>Stress_And_Productivity_1[[#This Row],[stress_level_0_10]]*10</f>
        <v>93</v>
      </c>
      <c r="J2" t="s">
        <v>454</v>
      </c>
      <c r="M2" t="s">
        <v>452</v>
      </c>
    </row>
    <row r="3" spans="1:14" x14ac:dyDescent="0.3">
      <c r="A3" t="s">
        <v>19</v>
      </c>
      <c r="B3">
        <v>28</v>
      </c>
      <c r="C3" t="s">
        <v>16</v>
      </c>
      <c r="D3" t="s">
        <v>20</v>
      </c>
      <c r="E3">
        <v>78</v>
      </c>
      <c r="F3">
        <v>5.7</v>
      </c>
      <c r="G3" s="14">
        <f>Stress_And_Productivity_1[[#This Row],[stress_level_0_10]]*10</f>
        <v>57</v>
      </c>
      <c r="J3" s="3" t="s">
        <v>0</v>
      </c>
      <c r="K3" s="3"/>
      <c r="M3" s="3" t="s">
        <v>0</v>
      </c>
      <c r="N3" s="3"/>
    </row>
    <row r="4" spans="1:14" x14ac:dyDescent="0.3">
      <c r="A4" t="s">
        <v>21</v>
      </c>
      <c r="B4">
        <v>35</v>
      </c>
      <c r="C4" t="s">
        <v>16</v>
      </c>
      <c r="D4" t="s">
        <v>22</v>
      </c>
      <c r="E4">
        <v>51.8</v>
      </c>
      <c r="F4">
        <v>9.1</v>
      </c>
      <c r="G4" s="14">
        <f>Stress_And_Productivity_1[[#This Row],[stress_level_0_10]]*10</f>
        <v>91</v>
      </c>
    </row>
    <row r="5" spans="1:14" x14ac:dyDescent="0.3">
      <c r="A5" t="s">
        <v>23</v>
      </c>
      <c r="B5">
        <v>42</v>
      </c>
      <c r="C5" t="s">
        <v>24</v>
      </c>
      <c r="D5" t="s">
        <v>22</v>
      </c>
      <c r="E5">
        <v>37</v>
      </c>
      <c r="F5">
        <v>10</v>
      </c>
      <c r="G5" s="14">
        <f>Stress_And_Productivity_1[[#This Row],[stress_level_0_10]]*10</f>
        <v>100</v>
      </c>
      <c r="J5" t="s">
        <v>434</v>
      </c>
      <c r="K5">
        <v>8.2623409669211245</v>
      </c>
      <c r="M5" t="s">
        <v>434</v>
      </c>
      <c r="N5">
        <v>53.518829516539419</v>
      </c>
    </row>
    <row r="6" spans="1:14" x14ac:dyDescent="0.3">
      <c r="A6" t="s">
        <v>25</v>
      </c>
      <c r="B6">
        <v>28</v>
      </c>
      <c r="C6" t="s">
        <v>24</v>
      </c>
      <c r="D6" t="s">
        <v>18</v>
      </c>
      <c r="E6">
        <v>38.5</v>
      </c>
      <c r="F6">
        <v>10</v>
      </c>
      <c r="G6" s="14">
        <f>Stress_And_Productivity_1[[#This Row],[stress_level_0_10]]*10</f>
        <v>100</v>
      </c>
      <c r="J6" t="s">
        <v>435</v>
      </c>
      <c r="K6">
        <v>9.7109342367097506E-2</v>
      </c>
      <c r="M6" t="s">
        <v>435</v>
      </c>
      <c r="N6">
        <v>0.7026414595311673</v>
      </c>
    </row>
    <row r="7" spans="1:14" x14ac:dyDescent="0.3">
      <c r="A7" t="s">
        <v>27</v>
      </c>
      <c r="B7">
        <v>28</v>
      </c>
      <c r="C7" t="s">
        <v>28</v>
      </c>
      <c r="D7" t="s">
        <v>22</v>
      </c>
      <c r="E7">
        <v>44</v>
      </c>
      <c r="F7">
        <v>10</v>
      </c>
      <c r="G7" s="14">
        <f>Stress_And_Productivity_1[[#This Row],[stress_level_0_10]]*10</f>
        <v>100</v>
      </c>
      <c r="J7" t="s">
        <v>436</v>
      </c>
      <c r="K7">
        <v>8.8000000000000007</v>
      </c>
      <c r="M7" t="s">
        <v>436</v>
      </c>
      <c r="N7">
        <v>51.5</v>
      </c>
    </row>
    <row r="8" spans="1:14" x14ac:dyDescent="0.3">
      <c r="A8" t="s">
        <v>30</v>
      </c>
      <c r="B8">
        <v>42</v>
      </c>
      <c r="C8" t="s">
        <v>28</v>
      </c>
      <c r="D8" t="s">
        <v>18</v>
      </c>
      <c r="E8">
        <v>64.8</v>
      </c>
      <c r="F8">
        <v>6.1</v>
      </c>
      <c r="G8" s="14">
        <f>Stress_And_Productivity_1[[#This Row],[stress_level_0_10]]*10</f>
        <v>61</v>
      </c>
      <c r="J8" t="s">
        <v>437</v>
      </c>
      <c r="K8">
        <v>10</v>
      </c>
      <c r="M8" t="s">
        <v>437</v>
      </c>
      <c r="N8">
        <v>50.4</v>
      </c>
    </row>
    <row r="9" spans="1:14" x14ac:dyDescent="0.3">
      <c r="A9" t="s">
        <v>32</v>
      </c>
      <c r="B9">
        <v>36</v>
      </c>
      <c r="C9" t="s">
        <v>24</v>
      </c>
      <c r="D9" t="s">
        <v>20</v>
      </c>
      <c r="E9">
        <v>87</v>
      </c>
      <c r="F9">
        <v>5.4</v>
      </c>
      <c r="G9" s="14">
        <f>Stress_And_Productivity_1[[#This Row],[stress_level_0_10]]*10</f>
        <v>54</v>
      </c>
      <c r="J9" t="s">
        <v>438</v>
      </c>
      <c r="K9">
        <v>1.9251177053269426</v>
      </c>
      <c r="M9" t="s">
        <v>438</v>
      </c>
      <c r="N9">
        <v>13.929324216065581</v>
      </c>
    </row>
    <row r="10" spans="1:14" x14ac:dyDescent="0.3">
      <c r="A10" t="s">
        <v>33</v>
      </c>
      <c r="B10">
        <v>26</v>
      </c>
      <c r="C10" t="s">
        <v>24</v>
      </c>
      <c r="D10" t="s">
        <v>20</v>
      </c>
      <c r="E10">
        <v>91.7</v>
      </c>
      <c r="F10">
        <v>1.6</v>
      </c>
      <c r="G10" s="14">
        <f>Stress_And_Productivity_1[[#This Row],[stress_level_0_10]]*10</f>
        <v>16</v>
      </c>
      <c r="J10" t="s">
        <v>439</v>
      </c>
      <c r="K10">
        <v>3.7060781793632729</v>
      </c>
      <c r="M10" t="s">
        <v>439</v>
      </c>
      <c r="N10">
        <v>194.02607311627099</v>
      </c>
    </row>
    <row r="11" spans="1:14" x14ac:dyDescent="0.3">
      <c r="A11" t="s">
        <v>34</v>
      </c>
      <c r="B11">
        <v>34</v>
      </c>
      <c r="C11" t="s">
        <v>24</v>
      </c>
      <c r="D11" t="s">
        <v>22</v>
      </c>
      <c r="E11">
        <v>42.2</v>
      </c>
      <c r="F11">
        <v>10</v>
      </c>
      <c r="G11" s="14">
        <f>Stress_And_Productivity_1[[#This Row],[stress_level_0_10]]*10</f>
        <v>100</v>
      </c>
      <c r="J11" t="s">
        <v>440</v>
      </c>
      <c r="K11">
        <v>0.37780764815542511</v>
      </c>
      <c r="M11" t="s">
        <v>440</v>
      </c>
      <c r="N11">
        <v>-0.14719292000934603</v>
      </c>
    </row>
    <row r="12" spans="1:14" x14ac:dyDescent="0.3">
      <c r="A12" t="s">
        <v>35</v>
      </c>
      <c r="B12">
        <v>26</v>
      </c>
      <c r="C12" t="s">
        <v>24</v>
      </c>
      <c r="D12" t="s">
        <v>18</v>
      </c>
      <c r="E12">
        <v>55.9</v>
      </c>
      <c r="F12">
        <v>8.8000000000000007</v>
      </c>
      <c r="G12" s="14">
        <f>Stress_And_Productivity_1[[#This Row],[stress_level_0_10]]*10</f>
        <v>88</v>
      </c>
      <c r="J12" t="s">
        <v>441</v>
      </c>
      <c r="K12">
        <v>-1.050368001419399</v>
      </c>
      <c r="M12" t="s">
        <v>441</v>
      </c>
      <c r="N12">
        <v>0.50425204372568244</v>
      </c>
    </row>
    <row r="13" spans="1:14" x14ac:dyDescent="0.3">
      <c r="A13" t="s">
        <v>36</v>
      </c>
      <c r="B13">
        <v>26</v>
      </c>
      <c r="C13" t="s">
        <v>16</v>
      </c>
      <c r="D13" t="s">
        <v>22</v>
      </c>
      <c r="E13">
        <v>88.4</v>
      </c>
      <c r="F13">
        <v>4.5999999999999996</v>
      </c>
      <c r="G13" s="14">
        <f>Stress_And_Productivity_1[[#This Row],[stress_level_0_10]]*10</f>
        <v>46</v>
      </c>
      <c r="J13" t="s">
        <v>442</v>
      </c>
      <c r="K13">
        <v>8.4</v>
      </c>
      <c r="M13" t="s">
        <v>442</v>
      </c>
      <c r="N13">
        <v>71.099999999999994</v>
      </c>
    </row>
    <row r="14" spans="1:14" x14ac:dyDescent="0.3">
      <c r="A14" t="s">
        <v>38</v>
      </c>
      <c r="B14">
        <v>31</v>
      </c>
      <c r="C14" t="s">
        <v>16</v>
      </c>
      <c r="D14" t="s">
        <v>18</v>
      </c>
      <c r="E14">
        <v>33</v>
      </c>
      <c r="F14">
        <v>10</v>
      </c>
      <c r="G14" s="14">
        <f>Stress_And_Productivity_1[[#This Row],[stress_level_0_10]]*10</f>
        <v>100</v>
      </c>
      <c r="J14" t="s">
        <v>443</v>
      </c>
      <c r="K14">
        <v>1.6</v>
      </c>
      <c r="M14" t="s">
        <v>443</v>
      </c>
      <c r="N14">
        <v>20.6</v>
      </c>
    </row>
    <row r="15" spans="1:14" x14ac:dyDescent="0.3">
      <c r="A15" t="s">
        <v>39</v>
      </c>
      <c r="B15">
        <v>16</v>
      </c>
      <c r="C15" t="s">
        <v>16</v>
      </c>
      <c r="D15" t="s">
        <v>18</v>
      </c>
      <c r="E15">
        <v>70.7</v>
      </c>
      <c r="F15">
        <v>6.3</v>
      </c>
      <c r="G15" s="14">
        <f>Stress_And_Productivity_1[[#This Row],[stress_level_0_10]]*10</f>
        <v>63</v>
      </c>
      <c r="J15" t="s">
        <v>444</v>
      </c>
      <c r="K15">
        <v>10</v>
      </c>
      <c r="M15" t="s">
        <v>444</v>
      </c>
      <c r="N15">
        <v>91.7</v>
      </c>
    </row>
    <row r="16" spans="1:14" x14ac:dyDescent="0.3">
      <c r="A16" t="s">
        <v>40</v>
      </c>
      <c r="B16">
        <v>16</v>
      </c>
      <c r="C16" t="s">
        <v>24</v>
      </c>
      <c r="D16" t="s">
        <v>22</v>
      </c>
      <c r="E16">
        <v>53.2</v>
      </c>
      <c r="F16">
        <v>10</v>
      </c>
      <c r="G16" s="14">
        <f>Stress_And_Productivity_1[[#This Row],[stress_level_0_10]]*10</f>
        <v>100</v>
      </c>
      <c r="J16" t="s">
        <v>445</v>
      </c>
      <c r="K16">
        <v>3247.1000000000017</v>
      </c>
      <c r="M16" t="s">
        <v>445</v>
      </c>
      <c r="N16">
        <v>21032.899999999991</v>
      </c>
    </row>
    <row r="17" spans="1:19" ht="14.5" thickBot="1" x14ac:dyDescent="0.35">
      <c r="A17" t="s">
        <v>41</v>
      </c>
      <c r="B17">
        <v>25</v>
      </c>
      <c r="C17" t="s">
        <v>24</v>
      </c>
      <c r="D17" t="s">
        <v>22</v>
      </c>
      <c r="E17">
        <v>37.6</v>
      </c>
      <c r="F17">
        <v>10</v>
      </c>
      <c r="G17" s="14">
        <f>Stress_And_Productivity_1[[#This Row],[stress_level_0_10]]*10</f>
        <v>100</v>
      </c>
      <c r="J17" s="1" t="s">
        <v>446</v>
      </c>
      <c r="K17" s="1">
        <v>393</v>
      </c>
      <c r="M17" s="1" t="s">
        <v>446</v>
      </c>
      <c r="N17" s="1">
        <v>393</v>
      </c>
    </row>
    <row r="18" spans="1:19" x14ac:dyDescent="0.3">
      <c r="A18" t="s">
        <v>42</v>
      </c>
      <c r="B18">
        <v>21</v>
      </c>
      <c r="C18" t="s">
        <v>16</v>
      </c>
      <c r="D18" t="s">
        <v>20</v>
      </c>
      <c r="E18">
        <v>60.3</v>
      </c>
      <c r="F18">
        <v>10</v>
      </c>
      <c r="G18" s="14">
        <f>Stress_And_Productivity_1[[#This Row],[stress_level_0_10]]*10</f>
        <v>100</v>
      </c>
    </row>
    <row r="19" spans="1:19" x14ac:dyDescent="0.3">
      <c r="A19" t="s">
        <v>43</v>
      </c>
      <c r="B19">
        <v>32</v>
      </c>
      <c r="C19" t="s">
        <v>24</v>
      </c>
      <c r="D19" t="s">
        <v>22</v>
      </c>
      <c r="E19">
        <v>49</v>
      </c>
      <c r="F19">
        <v>7</v>
      </c>
      <c r="G19" s="14">
        <f>Stress_And_Productivity_1[[#This Row],[stress_level_0_10]]*10</f>
        <v>70</v>
      </c>
    </row>
    <row r="20" spans="1:19" x14ac:dyDescent="0.3">
      <c r="A20" t="s">
        <v>44</v>
      </c>
      <c r="B20">
        <v>22</v>
      </c>
      <c r="C20" t="s">
        <v>24</v>
      </c>
      <c r="D20" t="s">
        <v>22</v>
      </c>
      <c r="E20">
        <v>85.1</v>
      </c>
      <c r="F20">
        <v>4.2</v>
      </c>
      <c r="G20" s="14">
        <f>Stress_And_Productivity_1[[#This Row],[stress_level_0_10]]*10</f>
        <v>42</v>
      </c>
      <c r="Q20" t="s">
        <v>455</v>
      </c>
      <c r="R20" t="s">
        <v>454</v>
      </c>
      <c r="S20" t="s">
        <v>452</v>
      </c>
    </row>
    <row r="21" spans="1:19" x14ac:dyDescent="0.3">
      <c r="A21" t="s">
        <v>45</v>
      </c>
      <c r="B21">
        <v>18</v>
      </c>
      <c r="C21" t="s">
        <v>16</v>
      </c>
      <c r="D21" t="s">
        <v>18</v>
      </c>
      <c r="E21">
        <v>52</v>
      </c>
      <c r="F21">
        <v>9.4</v>
      </c>
      <c r="G21" s="14">
        <f>Stress_And_Productivity_1[[#This Row],[stress_level_0_10]]*10</f>
        <v>94</v>
      </c>
      <c r="Q21" t="s">
        <v>18</v>
      </c>
      <c r="R21" s="14">
        <f>AVERAGEIF(Stress_And_Productivity_1[work_mode],"Remote",Stress_And_Productivity_1[Stess 0-100])</f>
        <v>86.3</v>
      </c>
      <c r="S21" s="14">
        <f>AVERAGEIF(Stress_And_Productivity_1[work_mode],"Remote",Stress_And_Productivity_1[productivity_0_100])</f>
        <v>50.168000000000006</v>
      </c>
    </row>
    <row r="22" spans="1:19" x14ac:dyDescent="0.3">
      <c r="A22" t="s">
        <v>46</v>
      </c>
      <c r="B22">
        <v>41</v>
      </c>
      <c r="C22" t="s">
        <v>16</v>
      </c>
      <c r="D22" t="s">
        <v>18</v>
      </c>
      <c r="E22">
        <v>48.1</v>
      </c>
      <c r="F22">
        <v>10</v>
      </c>
      <c r="G22" s="14">
        <f>Stress_And_Productivity_1[[#This Row],[stress_level_0_10]]*10</f>
        <v>100</v>
      </c>
      <c r="Q22" t="s">
        <v>20</v>
      </c>
      <c r="R22" s="14">
        <f>AVERAGEIF(Stress_And_Productivity_1[work_mode],"In-person",Stress_And_Productivity_1[Stess 0-100])</f>
        <v>77.950980392156865</v>
      </c>
      <c r="S22" s="14">
        <f>AVERAGEIF(Stress_And_Productivity_1[work_mode],"In-person",Stress_And_Productivity_1[productivity_0_100])</f>
        <v>57.056862745098059</v>
      </c>
    </row>
    <row r="23" spans="1:19" x14ac:dyDescent="0.3">
      <c r="A23" t="s">
        <v>47</v>
      </c>
      <c r="B23">
        <v>28</v>
      </c>
      <c r="C23" t="s">
        <v>24</v>
      </c>
      <c r="D23" t="s">
        <v>18</v>
      </c>
      <c r="E23">
        <v>53.1</v>
      </c>
      <c r="F23">
        <v>8.1</v>
      </c>
      <c r="G23" s="14">
        <f>Stress_And_Productivity_1[[#This Row],[stress_level_0_10]]*10</f>
        <v>81</v>
      </c>
      <c r="Q23" t="s">
        <v>22</v>
      </c>
      <c r="R23" s="14">
        <f>AVERAGEIF(Stress_And_Productivity_1[work_mode],"Hybrid",Stress_And_Productivity_1[Stess 0-100])</f>
        <v>82.092198581560282</v>
      </c>
      <c r="S23" s="14">
        <f>AVERAGEIF(Stress_And_Productivity_1[work_mode],"Hybrid",Stress_And_Productivity_1[productivity_0_100])</f>
        <v>54.52411347517733</v>
      </c>
    </row>
    <row r="24" spans="1:19" x14ac:dyDescent="0.3">
      <c r="A24" t="s">
        <v>48</v>
      </c>
      <c r="B24">
        <v>30</v>
      </c>
      <c r="C24" t="s">
        <v>24</v>
      </c>
      <c r="D24" t="s">
        <v>20</v>
      </c>
      <c r="E24">
        <v>76.400000000000006</v>
      </c>
      <c r="F24">
        <v>5.0999999999999996</v>
      </c>
      <c r="G24" s="14">
        <f>Stress_And_Productivity_1[[#This Row],[stress_level_0_10]]*10</f>
        <v>51</v>
      </c>
    </row>
    <row r="25" spans="1:19" x14ac:dyDescent="0.3">
      <c r="A25" t="s">
        <v>49</v>
      </c>
      <c r="B25">
        <v>18</v>
      </c>
      <c r="C25" t="s">
        <v>24</v>
      </c>
      <c r="D25" t="s">
        <v>18</v>
      </c>
      <c r="E25">
        <v>77.3</v>
      </c>
      <c r="F25">
        <v>3.7</v>
      </c>
      <c r="G25" s="14">
        <f>Stress_And_Productivity_1[[#This Row],[stress_level_0_10]]*10</f>
        <v>37</v>
      </c>
      <c r="J25" s="13"/>
      <c r="K25" s="13"/>
      <c r="L25" s="13"/>
      <c r="M25" s="13"/>
      <c r="N25" s="13"/>
    </row>
    <row r="26" spans="1:19" x14ac:dyDescent="0.3">
      <c r="A26" t="s">
        <v>50</v>
      </c>
      <c r="B26">
        <v>25</v>
      </c>
      <c r="C26" t="s">
        <v>24</v>
      </c>
      <c r="D26" t="s">
        <v>20</v>
      </c>
      <c r="E26">
        <v>50.3</v>
      </c>
      <c r="F26">
        <v>9.8000000000000007</v>
      </c>
      <c r="G26" s="14">
        <f>Stress_And_Productivity_1[[#This Row],[stress_level_0_10]]*10</f>
        <v>98</v>
      </c>
    </row>
    <row r="27" spans="1:19" x14ac:dyDescent="0.3">
      <c r="A27" t="s">
        <v>51</v>
      </c>
      <c r="B27">
        <v>30</v>
      </c>
      <c r="C27" t="s">
        <v>24</v>
      </c>
      <c r="D27" t="s">
        <v>22</v>
      </c>
      <c r="E27">
        <v>51</v>
      </c>
      <c r="F27">
        <v>10</v>
      </c>
      <c r="G27" s="14">
        <f>Stress_And_Productivity_1[[#This Row],[stress_level_0_10]]*10</f>
        <v>100</v>
      </c>
    </row>
    <row r="28" spans="1:19" x14ac:dyDescent="0.3">
      <c r="A28" t="s">
        <v>52</v>
      </c>
      <c r="B28">
        <v>20</v>
      </c>
      <c r="C28" t="s">
        <v>24</v>
      </c>
      <c r="D28" t="s">
        <v>18</v>
      </c>
      <c r="E28">
        <v>53.3</v>
      </c>
      <c r="F28">
        <v>10</v>
      </c>
      <c r="G28" s="14">
        <f>Stress_And_Productivity_1[[#This Row],[stress_level_0_10]]*10</f>
        <v>100</v>
      </c>
    </row>
    <row r="29" spans="1:19" x14ac:dyDescent="0.3">
      <c r="A29" t="s">
        <v>53</v>
      </c>
      <c r="B29">
        <v>33</v>
      </c>
      <c r="C29" t="s">
        <v>24</v>
      </c>
      <c r="D29" t="s">
        <v>20</v>
      </c>
      <c r="E29">
        <v>60</v>
      </c>
      <c r="F29">
        <v>7</v>
      </c>
      <c r="G29" s="14">
        <f>Stress_And_Productivity_1[[#This Row],[stress_level_0_10]]*10</f>
        <v>70</v>
      </c>
    </row>
    <row r="30" spans="1:19" x14ac:dyDescent="0.3">
      <c r="A30" t="s">
        <v>54</v>
      </c>
      <c r="B30">
        <v>25</v>
      </c>
      <c r="C30" t="s">
        <v>24</v>
      </c>
      <c r="D30" t="s">
        <v>22</v>
      </c>
      <c r="E30">
        <v>61.1</v>
      </c>
      <c r="F30">
        <v>7.6</v>
      </c>
      <c r="G30" s="14">
        <f>Stress_And_Productivity_1[[#This Row],[stress_level_0_10]]*10</f>
        <v>76</v>
      </c>
    </row>
    <row r="31" spans="1:19" x14ac:dyDescent="0.3">
      <c r="A31" t="s">
        <v>55</v>
      </c>
      <c r="B31">
        <v>27</v>
      </c>
      <c r="C31" t="s">
        <v>16</v>
      </c>
      <c r="D31" t="s">
        <v>20</v>
      </c>
      <c r="E31">
        <v>38</v>
      </c>
      <c r="F31">
        <v>10</v>
      </c>
      <c r="G31" s="14">
        <f>Stress_And_Productivity_1[[#This Row],[stress_level_0_10]]*10</f>
        <v>100</v>
      </c>
      <c r="J31" s="13"/>
      <c r="K31" s="13"/>
      <c r="L31" s="13"/>
      <c r="M31" s="13"/>
      <c r="N31" s="13"/>
      <c r="O31" s="13"/>
      <c r="P31" s="13"/>
    </row>
    <row r="32" spans="1:19" x14ac:dyDescent="0.3">
      <c r="A32" t="s">
        <v>56</v>
      </c>
      <c r="B32">
        <v>25</v>
      </c>
      <c r="C32" t="s">
        <v>16</v>
      </c>
      <c r="D32" t="s">
        <v>20</v>
      </c>
      <c r="E32">
        <v>52.1</v>
      </c>
      <c r="F32">
        <v>8.5</v>
      </c>
      <c r="G32" s="14">
        <f>Stress_And_Productivity_1[[#This Row],[stress_level_0_10]]*10</f>
        <v>85</v>
      </c>
    </row>
    <row r="33" spans="1:28" x14ac:dyDescent="0.3">
      <c r="A33" t="s">
        <v>57</v>
      </c>
      <c r="B33">
        <v>44</v>
      </c>
      <c r="C33" t="s">
        <v>16</v>
      </c>
      <c r="D33" t="s">
        <v>18</v>
      </c>
      <c r="E33">
        <v>42.6</v>
      </c>
      <c r="F33">
        <v>10</v>
      </c>
      <c r="G33" s="14">
        <f>Stress_And_Productivity_1[[#This Row],[stress_level_0_10]]*10</f>
        <v>100</v>
      </c>
    </row>
    <row r="34" spans="1:28" x14ac:dyDescent="0.3">
      <c r="A34" t="s">
        <v>58</v>
      </c>
      <c r="B34">
        <v>29</v>
      </c>
      <c r="C34" t="s">
        <v>24</v>
      </c>
      <c r="D34" t="s">
        <v>18</v>
      </c>
      <c r="E34">
        <v>60.3</v>
      </c>
      <c r="F34">
        <v>7</v>
      </c>
      <c r="G34" s="14">
        <f>Stress_And_Productivity_1[[#This Row],[stress_level_0_10]]*10</f>
        <v>70</v>
      </c>
    </row>
    <row r="35" spans="1:28" x14ac:dyDescent="0.3">
      <c r="A35" t="s">
        <v>59</v>
      </c>
      <c r="B35">
        <v>21</v>
      </c>
      <c r="C35" t="s">
        <v>24</v>
      </c>
      <c r="D35" t="s">
        <v>22</v>
      </c>
      <c r="E35">
        <v>57</v>
      </c>
      <c r="F35">
        <v>9.9</v>
      </c>
      <c r="G35" s="14">
        <f>Stress_And_Productivity_1[[#This Row],[stress_level_0_10]]*10</f>
        <v>99</v>
      </c>
    </row>
    <row r="36" spans="1:28" x14ac:dyDescent="0.3">
      <c r="A36" t="s">
        <v>60</v>
      </c>
      <c r="B36">
        <v>36</v>
      </c>
      <c r="C36" t="s">
        <v>24</v>
      </c>
      <c r="D36" t="s">
        <v>20</v>
      </c>
      <c r="E36">
        <v>39.6</v>
      </c>
      <c r="F36">
        <v>10</v>
      </c>
      <c r="G36" s="14">
        <f>Stress_And_Productivity_1[[#This Row],[stress_level_0_10]]*10</f>
        <v>100</v>
      </c>
    </row>
    <row r="37" spans="1:28" x14ac:dyDescent="0.3">
      <c r="A37" t="s">
        <v>61</v>
      </c>
      <c r="B37">
        <v>20</v>
      </c>
      <c r="C37" t="s">
        <v>16</v>
      </c>
      <c r="D37" t="s">
        <v>18</v>
      </c>
      <c r="E37">
        <v>53.6</v>
      </c>
      <c r="F37">
        <v>8.4</v>
      </c>
      <c r="G37" s="14">
        <f>Stress_And_Productivity_1[[#This Row],[stress_level_0_10]]*10</f>
        <v>84</v>
      </c>
    </row>
    <row r="38" spans="1:28" x14ac:dyDescent="0.3">
      <c r="A38" t="s">
        <v>62</v>
      </c>
      <c r="B38">
        <v>31</v>
      </c>
      <c r="C38" t="s">
        <v>16</v>
      </c>
      <c r="D38" t="s">
        <v>22</v>
      </c>
      <c r="E38">
        <v>45.7</v>
      </c>
      <c r="F38">
        <v>9.5</v>
      </c>
      <c r="G38" s="14">
        <f>Stress_And_Productivity_1[[#This Row],[stress_level_0_10]]*10</f>
        <v>95</v>
      </c>
    </row>
    <row r="39" spans="1:28" x14ac:dyDescent="0.3">
      <c r="A39" t="s">
        <v>63</v>
      </c>
      <c r="B39">
        <v>16</v>
      </c>
      <c r="C39" t="s">
        <v>16</v>
      </c>
      <c r="D39" t="s">
        <v>22</v>
      </c>
      <c r="E39">
        <v>68.099999999999994</v>
      </c>
      <c r="F39">
        <v>6.5</v>
      </c>
      <c r="G39" s="14">
        <f>Stress_And_Productivity_1[[#This Row],[stress_level_0_10]]*10</f>
        <v>65</v>
      </c>
      <c r="R39" t="s">
        <v>456</v>
      </c>
    </row>
    <row r="40" spans="1:28" ht="14.5" thickBot="1" x14ac:dyDescent="0.35">
      <c r="A40" t="s">
        <v>64</v>
      </c>
      <c r="B40">
        <v>19</v>
      </c>
      <c r="C40" t="s">
        <v>16</v>
      </c>
      <c r="D40" t="s">
        <v>20</v>
      </c>
      <c r="E40">
        <v>49.8</v>
      </c>
      <c r="F40">
        <v>9</v>
      </c>
      <c r="G40" s="14">
        <f>Stress_And_Productivity_1[[#This Row],[stress_level_0_10]]*10</f>
        <v>90</v>
      </c>
    </row>
    <row r="41" spans="1:28" x14ac:dyDescent="0.3">
      <c r="A41" t="s">
        <v>65</v>
      </c>
      <c r="B41">
        <v>31</v>
      </c>
      <c r="C41" t="s">
        <v>24</v>
      </c>
      <c r="D41" t="s">
        <v>18</v>
      </c>
      <c r="E41">
        <v>51.6</v>
      </c>
      <c r="F41">
        <v>10</v>
      </c>
      <c r="G41" s="14">
        <f>Stress_And_Productivity_1[[#This Row],[stress_level_0_10]]*10</f>
        <v>100</v>
      </c>
      <c r="R41" s="3" t="s">
        <v>457</v>
      </c>
      <c r="S41" s="3"/>
    </row>
    <row r="42" spans="1:28" x14ac:dyDescent="0.3">
      <c r="A42" t="s">
        <v>66</v>
      </c>
      <c r="B42">
        <v>35</v>
      </c>
      <c r="C42" t="s">
        <v>16</v>
      </c>
      <c r="D42" t="s">
        <v>20</v>
      </c>
      <c r="E42">
        <v>67.400000000000006</v>
      </c>
      <c r="F42">
        <v>7.2</v>
      </c>
      <c r="G42" s="14">
        <f>Stress_And_Productivity_1[[#This Row],[stress_level_0_10]]*10</f>
        <v>72</v>
      </c>
      <c r="R42" t="s">
        <v>458</v>
      </c>
      <c r="S42">
        <v>0.86148121181663739</v>
      </c>
    </row>
    <row r="43" spans="1:28" x14ac:dyDescent="0.3">
      <c r="A43" t="s">
        <v>67</v>
      </c>
      <c r="B43">
        <v>31</v>
      </c>
      <c r="C43" t="s">
        <v>16</v>
      </c>
      <c r="D43" t="s">
        <v>20</v>
      </c>
      <c r="E43">
        <v>51.7</v>
      </c>
      <c r="F43">
        <v>8.4</v>
      </c>
      <c r="G43" s="14">
        <f>Stress_And_Productivity_1[[#This Row],[stress_level_0_10]]*10</f>
        <v>84</v>
      </c>
      <c r="R43" s="17" t="s">
        <v>459</v>
      </c>
      <c r="S43" s="17">
        <v>0.74214987831306201</v>
      </c>
      <c r="U43" s="27" t="s">
        <v>460</v>
      </c>
      <c r="V43" s="27"/>
      <c r="W43" s="27"/>
      <c r="X43" s="27"/>
      <c r="Y43" s="27"/>
      <c r="Z43" s="27"/>
      <c r="AA43" s="27"/>
      <c r="AB43" s="27"/>
    </row>
    <row r="44" spans="1:28" x14ac:dyDescent="0.3">
      <c r="A44" t="s">
        <v>68</v>
      </c>
      <c r="B44">
        <v>29</v>
      </c>
      <c r="C44" t="s">
        <v>24</v>
      </c>
      <c r="D44" t="s">
        <v>18</v>
      </c>
      <c r="E44">
        <v>77.7</v>
      </c>
      <c r="F44">
        <v>3.8</v>
      </c>
      <c r="G44" s="14">
        <f>Stress_And_Productivity_1[[#This Row],[stress_level_0_10]]*10</f>
        <v>38</v>
      </c>
      <c r="R44" t="s">
        <v>461</v>
      </c>
      <c r="S44">
        <v>0.74149041508624114</v>
      </c>
    </row>
    <row r="45" spans="1:28" x14ac:dyDescent="0.3">
      <c r="A45" t="s">
        <v>69</v>
      </c>
      <c r="B45">
        <v>27</v>
      </c>
      <c r="C45" t="s">
        <v>16</v>
      </c>
      <c r="D45" t="s">
        <v>18</v>
      </c>
      <c r="E45">
        <v>37.6</v>
      </c>
      <c r="F45">
        <v>10</v>
      </c>
      <c r="G45" s="14">
        <f>Stress_And_Productivity_1[[#This Row],[stress_level_0_10]]*10</f>
        <v>100</v>
      </c>
      <c r="R45" t="s">
        <v>435</v>
      </c>
      <c r="S45">
        <v>7.0822030205108799</v>
      </c>
    </row>
    <row r="46" spans="1:28" ht="14.5" thickBot="1" x14ac:dyDescent="0.35">
      <c r="A46" t="s">
        <v>70</v>
      </c>
      <c r="B46">
        <v>18</v>
      </c>
      <c r="C46" t="s">
        <v>16</v>
      </c>
      <c r="D46" t="s">
        <v>20</v>
      </c>
      <c r="E46">
        <v>58.8</v>
      </c>
      <c r="F46">
        <v>7.4</v>
      </c>
      <c r="G46" s="14">
        <f>Stress_And_Productivity_1[[#This Row],[stress_level_0_10]]*10</f>
        <v>74</v>
      </c>
      <c r="R46" s="1" t="s">
        <v>462</v>
      </c>
      <c r="S46" s="1">
        <v>393</v>
      </c>
    </row>
    <row r="47" spans="1:28" x14ac:dyDescent="0.3">
      <c r="A47" t="s">
        <v>71</v>
      </c>
      <c r="B47">
        <v>24</v>
      </c>
      <c r="C47" t="s">
        <v>24</v>
      </c>
      <c r="D47" t="s">
        <v>18</v>
      </c>
      <c r="E47">
        <v>79.599999999999994</v>
      </c>
      <c r="F47">
        <v>4.0999999999999996</v>
      </c>
      <c r="G47" s="14">
        <f>Stress_And_Productivity_1[[#This Row],[stress_level_0_10]]*10</f>
        <v>41</v>
      </c>
    </row>
    <row r="48" spans="1:28" ht="14.5" thickBot="1" x14ac:dyDescent="0.35">
      <c r="A48" t="s">
        <v>72</v>
      </c>
      <c r="B48">
        <v>26</v>
      </c>
      <c r="C48" t="s">
        <v>16</v>
      </c>
      <c r="D48" t="s">
        <v>20</v>
      </c>
      <c r="E48">
        <v>49.2</v>
      </c>
      <c r="F48">
        <v>8.9</v>
      </c>
      <c r="G48" s="14">
        <f>Stress_And_Productivity_1[[#This Row],[stress_level_0_10]]*10</f>
        <v>89</v>
      </c>
      <c r="R48" t="s">
        <v>463</v>
      </c>
    </row>
    <row r="49" spans="1:26" x14ac:dyDescent="0.3">
      <c r="A49" t="s">
        <v>73</v>
      </c>
      <c r="B49">
        <v>38</v>
      </c>
      <c r="C49" t="s">
        <v>24</v>
      </c>
      <c r="D49" t="s">
        <v>18</v>
      </c>
      <c r="E49">
        <v>34.799999999999997</v>
      </c>
      <c r="F49">
        <v>10</v>
      </c>
      <c r="G49" s="14">
        <f>Stress_And_Productivity_1[[#This Row],[stress_level_0_10]]*10</f>
        <v>100</v>
      </c>
      <c r="R49" s="2"/>
      <c r="S49" s="2" t="s">
        <v>464</v>
      </c>
      <c r="T49" s="2" t="s">
        <v>465</v>
      </c>
      <c r="U49" s="2" t="s">
        <v>466</v>
      </c>
      <c r="V49" s="2" t="s">
        <v>467</v>
      </c>
      <c r="W49" s="2" t="s">
        <v>468</v>
      </c>
    </row>
    <row r="50" spans="1:26" x14ac:dyDescent="0.3">
      <c r="A50" t="s">
        <v>74</v>
      </c>
      <c r="B50">
        <v>32</v>
      </c>
      <c r="C50" t="s">
        <v>24</v>
      </c>
      <c r="D50" t="s">
        <v>18</v>
      </c>
      <c r="E50">
        <v>52.8</v>
      </c>
      <c r="F50">
        <v>9.3000000000000007</v>
      </c>
      <c r="G50" s="14">
        <f>Stress_And_Productivity_1[[#This Row],[stress_level_0_10]]*10</f>
        <v>93</v>
      </c>
      <c r="R50" t="s">
        <v>469</v>
      </c>
      <c r="S50">
        <v>1</v>
      </c>
      <c r="T50">
        <v>56446.599208697851</v>
      </c>
      <c r="U50">
        <v>56446.599208697851</v>
      </c>
      <c r="V50">
        <v>1125.3847798168679</v>
      </c>
      <c r="W50">
        <v>3.9107512582743665E-117</v>
      </c>
    </row>
    <row r="51" spans="1:26" x14ac:dyDescent="0.3">
      <c r="A51" t="s">
        <v>75</v>
      </c>
      <c r="B51">
        <v>16</v>
      </c>
      <c r="C51" t="s">
        <v>24</v>
      </c>
      <c r="D51" t="s">
        <v>20</v>
      </c>
      <c r="E51">
        <v>27.1</v>
      </c>
      <c r="F51">
        <v>10</v>
      </c>
      <c r="G51" s="14">
        <f>Stress_And_Productivity_1[[#This Row],[stress_level_0_10]]*10</f>
        <v>100</v>
      </c>
      <c r="R51" t="s">
        <v>470</v>
      </c>
      <c r="S51">
        <v>391</v>
      </c>
      <c r="T51">
        <v>19611.621452879768</v>
      </c>
      <c r="U51">
        <v>50.157599623733425</v>
      </c>
    </row>
    <row r="52" spans="1:26" ht="14.5" thickBot="1" x14ac:dyDescent="0.35">
      <c r="A52" t="s">
        <v>76</v>
      </c>
      <c r="B52">
        <v>32</v>
      </c>
      <c r="C52" t="s">
        <v>16</v>
      </c>
      <c r="D52" t="s">
        <v>22</v>
      </c>
      <c r="E52">
        <v>56.8</v>
      </c>
      <c r="F52">
        <v>6.5</v>
      </c>
      <c r="G52" s="14">
        <f>Stress_And_Productivity_1[[#This Row],[stress_level_0_10]]*10</f>
        <v>65</v>
      </c>
      <c r="R52" s="1" t="s">
        <v>471</v>
      </c>
      <c r="S52" s="1">
        <v>392</v>
      </c>
      <c r="T52" s="1">
        <v>76058.220661577623</v>
      </c>
      <c r="U52" s="1"/>
      <c r="V52" s="1"/>
      <c r="W52" s="1"/>
    </row>
    <row r="53" spans="1:26" ht="14.5" thickBot="1" x14ac:dyDescent="0.35">
      <c r="A53" t="s">
        <v>77</v>
      </c>
      <c r="B53">
        <v>26</v>
      </c>
      <c r="C53" t="s">
        <v>24</v>
      </c>
      <c r="D53" t="s">
        <v>18</v>
      </c>
      <c r="E53">
        <v>38.5</v>
      </c>
      <c r="F53">
        <v>10</v>
      </c>
      <c r="G53" s="14">
        <f>Stress_And_Productivity_1[[#This Row],[stress_level_0_10]]*10</f>
        <v>100</v>
      </c>
    </row>
    <row r="54" spans="1:26" x14ac:dyDescent="0.3">
      <c r="A54" t="s">
        <v>78</v>
      </c>
      <c r="B54">
        <v>24</v>
      </c>
      <c r="C54" t="s">
        <v>16</v>
      </c>
      <c r="D54" t="s">
        <v>22</v>
      </c>
      <c r="E54">
        <v>44.9</v>
      </c>
      <c r="F54">
        <v>8.8000000000000007</v>
      </c>
      <c r="G54" s="14">
        <f>Stress_And_Productivity_1[[#This Row],[stress_level_0_10]]*10</f>
        <v>88</v>
      </c>
      <c r="R54" s="2"/>
      <c r="S54" s="2" t="s">
        <v>472</v>
      </c>
      <c r="T54" s="2" t="s">
        <v>435</v>
      </c>
      <c r="U54" s="2" t="s">
        <v>473</v>
      </c>
      <c r="V54" s="2" t="s">
        <v>474</v>
      </c>
      <c r="W54" s="2" t="s">
        <v>475</v>
      </c>
      <c r="X54" s="2" t="s">
        <v>476</v>
      </c>
      <c r="Y54" s="2" t="s">
        <v>477</v>
      </c>
      <c r="Z54" s="2" t="s">
        <v>478</v>
      </c>
    </row>
    <row r="55" spans="1:26" x14ac:dyDescent="0.3">
      <c r="A55" t="s">
        <v>79</v>
      </c>
      <c r="B55">
        <v>34</v>
      </c>
      <c r="C55" t="s">
        <v>16</v>
      </c>
      <c r="D55" t="s">
        <v>22</v>
      </c>
      <c r="E55">
        <v>44.8</v>
      </c>
      <c r="F55">
        <v>9.8000000000000007</v>
      </c>
      <c r="G55" s="14">
        <f>Stress_And_Productivity_1[[#This Row],[stress_level_0_10]]*10</f>
        <v>98</v>
      </c>
      <c r="R55" t="s">
        <v>479</v>
      </c>
      <c r="S55">
        <v>105.02054346946106</v>
      </c>
      <c r="T55">
        <v>1.5762404117381836</v>
      </c>
      <c r="U55">
        <v>66.627236992135408</v>
      </c>
      <c r="V55">
        <v>1.5114082886856553E-215</v>
      </c>
      <c r="W55">
        <v>101.92157651350293</v>
      </c>
      <c r="X55">
        <v>108.11951042541919</v>
      </c>
      <c r="Y55">
        <v>101.92157651350293</v>
      </c>
      <c r="Z55">
        <v>108.11951042541919</v>
      </c>
    </row>
    <row r="56" spans="1:26" ht="14.5" thickBot="1" x14ac:dyDescent="0.35">
      <c r="A56" t="s">
        <v>80</v>
      </c>
      <c r="B56">
        <v>38</v>
      </c>
      <c r="C56" t="s">
        <v>16</v>
      </c>
      <c r="D56" t="s">
        <v>18</v>
      </c>
      <c r="E56">
        <v>60</v>
      </c>
      <c r="F56">
        <v>7.2</v>
      </c>
      <c r="G56" s="14">
        <f>Stress_And_Productivity_1[[#This Row],[stress_level_0_10]]*10</f>
        <v>72</v>
      </c>
      <c r="R56" s="1" t="s">
        <v>480</v>
      </c>
      <c r="S56" s="1">
        <v>-0.62333077464501263</v>
      </c>
      <c r="T56" s="1">
        <v>1.858095580963277E-2</v>
      </c>
      <c r="U56" s="1">
        <v>-33.546755130963952</v>
      </c>
      <c r="V56" s="1">
        <v>3.9107512582801533E-117</v>
      </c>
      <c r="W56" s="1">
        <v>-0.65986185685516385</v>
      </c>
      <c r="X56" s="1">
        <v>-0.58679969243486141</v>
      </c>
      <c r="Y56" s="1">
        <v>-0.65986185685516385</v>
      </c>
      <c r="Z56" s="1">
        <v>-0.58679969243486141</v>
      </c>
    </row>
    <row r="57" spans="1:26" x14ac:dyDescent="0.3">
      <c r="A57" t="s">
        <v>81</v>
      </c>
      <c r="B57">
        <v>37</v>
      </c>
      <c r="C57" t="s">
        <v>28</v>
      </c>
      <c r="D57" t="s">
        <v>22</v>
      </c>
      <c r="E57">
        <v>51.7</v>
      </c>
      <c r="F57">
        <v>9.4</v>
      </c>
      <c r="G57" s="14">
        <f>Stress_And_Productivity_1[[#This Row],[stress_level_0_10]]*10</f>
        <v>94</v>
      </c>
    </row>
    <row r="58" spans="1:26" x14ac:dyDescent="0.3">
      <c r="A58" t="s">
        <v>82</v>
      </c>
      <c r="B58">
        <v>23</v>
      </c>
      <c r="C58" t="s">
        <v>16</v>
      </c>
      <c r="D58" t="s">
        <v>20</v>
      </c>
      <c r="E58">
        <v>74</v>
      </c>
      <c r="F58">
        <v>5.6</v>
      </c>
      <c r="G58" s="14">
        <f>Stress_And_Productivity_1[[#This Row],[stress_level_0_10]]*10</f>
        <v>56</v>
      </c>
    </row>
    <row r="59" spans="1:26" x14ac:dyDescent="0.3">
      <c r="A59" t="s">
        <v>83</v>
      </c>
      <c r="B59">
        <v>27</v>
      </c>
      <c r="C59" t="s">
        <v>16</v>
      </c>
      <c r="D59" t="s">
        <v>18</v>
      </c>
      <c r="E59">
        <v>81</v>
      </c>
      <c r="F59">
        <v>6.9</v>
      </c>
      <c r="G59" s="14">
        <f>Stress_And_Productivity_1[[#This Row],[stress_level_0_10]]*10</f>
        <v>69</v>
      </c>
    </row>
    <row r="60" spans="1:26" x14ac:dyDescent="0.3">
      <c r="A60" t="s">
        <v>84</v>
      </c>
      <c r="B60">
        <v>32</v>
      </c>
      <c r="C60" t="s">
        <v>24</v>
      </c>
      <c r="D60" t="s">
        <v>22</v>
      </c>
      <c r="E60">
        <v>67.8</v>
      </c>
      <c r="F60">
        <v>7.2</v>
      </c>
      <c r="G60" s="14">
        <f>Stress_And_Productivity_1[[#This Row],[stress_level_0_10]]*10</f>
        <v>72</v>
      </c>
    </row>
    <row r="61" spans="1:26" x14ac:dyDescent="0.3">
      <c r="A61" t="s">
        <v>85</v>
      </c>
      <c r="B61">
        <v>37</v>
      </c>
      <c r="C61" t="s">
        <v>16</v>
      </c>
      <c r="D61" t="s">
        <v>22</v>
      </c>
      <c r="E61">
        <v>40.299999999999997</v>
      </c>
      <c r="F61">
        <v>9.6999999999999993</v>
      </c>
      <c r="G61" s="14">
        <f>Stress_And_Productivity_1[[#This Row],[stress_level_0_10]]*10</f>
        <v>97</v>
      </c>
    </row>
    <row r="62" spans="1:26" x14ac:dyDescent="0.3">
      <c r="A62" t="s">
        <v>86</v>
      </c>
      <c r="B62">
        <v>26</v>
      </c>
      <c r="C62" t="s">
        <v>16</v>
      </c>
      <c r="D62" t="s">
        <v>20</v>
      </c>
      <c r="E62">
        <v>46.3</v>
      </c>
      <c r="F62">
        <v>10</v>
      </c>
      <c r="G62" s="14">
        <f>Stress_And_Productivity_1[[#This Row],[stress_level_0_10]]*10</f>
        <v>100</v>
      </c>
    </row>
    <row r="63" spans="1:26" x14ac:dyDescent="0.3">
      <c r="A63" t="s">
        <v>87</v>
      </c>
      <c r="B63">
        <v>28</v>
      </c>
      <c r="C63" t="s">
        <v>16</v>
      </c>
      <c r="D63" t="s">
        <v>18</v>
      </c>
      <c r="E63">
        <v>45.8</v>
      </c>
      <c r="F63">
        <v>9.4</v>
      </c>
      <c r="G63" s="14">
        <f>Stress_And_Productivity_1[[#This Row],[stress_level_0_10]]*10</f>
        <v>94</v>
      </c>
    </row>
    <row r="64" spans="1:26" x14ac:dyDescent="0.3">
      <c r="A64" t="s">
        <v>88</v>
      </c>
      <c r="B64">
        <v>21</v>
      </c>
      <c r="C64" t="s">
        <v>16</v>
      </c>
      <c r="D64" t="s">
        <v>20</v>
      </c>
      <c r="E64">
        <v>42.2</v>
      </c>
      <c r="F64">
        <v>10</v>
      </c>
      <c r="G64" s="14">
        <f>Stress_And_Productivity_1[[#This Row],[stress_level_0_10]]*10</f>
        <v>100</v>
      </c>
    </row>
    <row r="65" spans="1:7" x14ac:dyDescent="0.3">
      <c r="A65" t="s">
        <v>89</v>
      </c>
      <c r="B65">
        <v>20</v>
      </c>
      <c r="C65" t="s">
        <v>16</v>
      </c>
      <c r="D65" t="s">
        <v>22</v>
      </c>
      <c r="E65">
        <v>51.1</v>
      </c>
      <c r="F65">
        <v>8.4</v>
      </c>
      <c r="G65" s="14">
        <f>Stress_And_Productivity_1[[#This Row],[stress_level_0_10]]*10</f>
        <v>84</v>
      </c>
    </row>
    <row r="66" spans="1:7" x14ac:dyDescent="0.3">
      <c r="A66" t="s">
        <v>90</v>
      </c>
      <c r="B66">
        <v>36</v>
      </c>
      <c r="C66" t="s">
        <v>16</v>
      </c>
      <c r="D66" t="s">
        <v>18</v>
      </c>
      <c r="E66">
        <v>48.3</v>
      </c>
      <c r="F66">
        <v>10</v>
      </c>
      <c r="G66" s="14">
        <f>Stress_And_Productivity_1[[#This Row],[stress_level_0_10]]*10</f>
        <v>100</v>
      </c>
    </row>
    <row r="67" spans="1:7" x14ac:dyDescent="0.3">
      <c r="A67" t="s">
        <v>91</v>
      </c>
      <c r="B67">
        <v>40</v>
      </c>
      <c r="C67" t="s">
        <v>24</v>
      </c>
      <c r="D67" t="s">
        <v>18</v>
      </c>
      <c r="E67">
        <v>86.3</v>
      </c>
      <c r="F67">
        <v>2.6</v>
      </c>
      <c r="G67" s="14">
        <f>Stress_And_Productivity_1[[#This Row],[stress_level_0_10]]*10</f>
        <v>26</v>
      </c>
    </row>
    <row r="68" spans="1:7" x14ac:dyDescent="0.3">
      <c r="A68" t="s">
        <v>92</v>
      </c>
      <c r="B68">
        <v>29</v>
      </c>
      <c r="C68" t="s">
        <v>16</v>
      </c>
      <c r="D68" t="s">
        <v>18</v>
      </c>
      <c r="E68">
        <v>38</v>
      </c>
      <c r="F68">
        <v>10</v>
      </c>
      <c r="G68" s="14">
        <f>Stress_And_Productivity_1[[#This Row],[stress_level_0_10]]*10</f>
        <v>100</v>
      </c>
    </row>
    <row r="69" spans="1:7" x14ac:dyDescent="0.3">
      <c r="A69" t="s">
        <v>93</v>
      </c>
      <c r="B69">
        <v>38</v>
      </c>
      <c r="C69" t="s">
        <v>16</v>
      </c>
      <c r="D69" t="s">
        <v>22</v>
      </c>
      <c r="E69">
        <v>50.3</v>
      </c>
      <c r="F69">
        <v>7.4</v>
      </c>
      <c r="G69" s="14">
        <f>Stress_And_Productivity_1[[#This Row],[stress_level_0_10]]*10</f>
        <v>74</v>
      </c>
    </row>
    <row r="70" spans="1:7" x14ac:dyDescent="0.3">
      <c r="A70" t="s">
        <v>94</v>
      </c>
      <c r="B70">
        <v>32</v>
      </c>
      <c r="C70" t="s">
        <v>24</v>
      </c>
      <c r="D70" t="s">
        <v>22</v>
      </c>
      <c r="E70">
        <v>76.5</v>
      </c>
      <c r="F70">
        <v>5.0999999999999996</v>
      </c>
      <c r="G70" s="14">
        <f>Stress_And_Productivity_1[[#This Row],[stress_level_0_10]]*10</f>
        <v>51</v>
      </c>
    </row>
    <row r="71" spans="1:7" x14ac:dyDescent="0.3">
      <c r="A71" t="s">
        <v>95</v>
      </c>
      <c r="B71">
        <v>24</v>
      </c>
      <c r="C71" t="s">
        <v>16</v>
      </c>
      <c r="D71" t="s">
        <v>20</v>
      </c>
      <c r="E71">
        <v>65.099999999999994</v>
      </c>
      <c r="F71">
        <v>7</v>
      </c>
      <c r="G71" s="14">
        <f>Stress_And_Productivity_1[[#This Row],[stress_level_0_10]]*10</f>
        <v>70</v>
      </c>
    </row>
    <row r="72" spans="1:7" x14ac:dyDescent="0.3">
      <c r="A72" t="s">
        <v>96</v>
      </c>
      <c r="B72">
        <v>32</v>
      </c>
      <c r="C72" t="s">
        <v>24</v>
      </c>
      <c r="D72" t="s">
        <v>22</v>
      </c>
      <c r="E72">
        <v>59</v>
      </c>
      <c r="F72">
        <v>7.7</v>
      </c>
      <c r="G72" s="14">
        <f>Stress_And_Productivity_1[[#This Row],[stress_level_0_10]]*10</f>
        <v>77</v>
      </c>
    </row>
    <row r="73" spans="1:7" x14ac:dyDescent="0.3">
      <c r="A73" t="s">
        <v>97</v>
      </c>
      <c r="B73">
        <v>42</v>
      </c>
      <c r="C73" t="s">
        <v>16</v>
      </c>
      <c r="D73" t="s">
        <v>18</v>
      </c>
      <c r="E73">
        <v>43</v>
      </c>
      <c r="F73">
        <v>10</v>
      </c>
      <c r="G73" s="14">
        <f>Stress_And_Productivity_1[[#This Row],[stress_level_0_10]]*10</f>
        <v>100</v>
      </c>
    </row>
    <row r="74" spans="1:7" x14ac:dyDescent="0.3">
      <c r="A74" t="s">
        <v>98</v>
      </c>
      <c r="B74">
        <v>29</v>
      </c>
      <c r="C74" t="s">
        <v>16</v>
      </c>
      <c r="D74" t="s">
        <v>22</v>
      </c>
      <c r="E74">
        <v>68.5</v>
      </c>
      <c r="F74">
        <v>4.5999999999999996</v>
      </c>
      <c r="G74" s="14">
        <f>Stress_And_Productivity_1[[#This Row],[stress_level_0_10]]*10</f>
        <v>46</v>
      </c>
    </row>
    <row r="75" spans="1:7" x14ac:dyDescent="0.3">
      <c r="A75" t="s">
        <v>99</v>
      </c>
      <c r="B75">
        <v>42</v>
      </c>
      <c r="C75" t="s">
        <v>16</v>
      </c>
      <c r="D75" t="s">
        <v>20</v>
      </c>
      <c r="E75">
        <v>56</v>
      </c>
      <c r="F75">
        <v>9.1999999999999993</v>
      </c>
      <c r="G75" s="14">
        <f>Stress_And_Productivity_1[[#This Row],[stress_level_0_10]]*10</f>
        <v>92</v>
      </c>
    </row>
    <row r="76" spans="1:7" x14ac:dyDescent="0.3">
      <c r="A76" t="s">
        <v>100</v>
      </c>
      <c r="B76">
        <v>16</v>
      </c>
      <c r="C76" t="s">
        <v>16</v>
      </c>
      <c r="D76" t="s">
        <v>18</v>
      </c>
      <c r="E76">
        <v>74.5</v>
      </c>
      <c r="F76">
        <v>5.4</v>
      </c>
      <c r="G76" s="14">
        <f>Stress_And_Productivity_1[[#This Row],[stress_level_0_10]]*10</f>
        <v>54</v>
      </c>
    </row>
    <row r="77" spans="1:7" x14ac:dyDescent="0.3">
      <c r="A77" t="s">
        <v>101</v>
      </c>
      <c r="B77">
        <v>36</v>
      </c>
      <c r="C77" t="s">
        <v>16</v>
      </c>
      <c r="D77" t="s">
        <v>18</v>
      </c>
      <c r="E77">
        <v>51.1</v>
      </c>
      <c r="F77">
        <v>10</v>
      </c>
      <c r="G77" s="14">
        <f>Stress_And_Productivity_1[[#This Row],[stress_level_0_10]]*10</f>
        <v>100</v>
      </c>
    </row>
    <row r="78" spans="1:7" x14ac:dyDescent="0.3">
      <c r="A78" t="s">
        <v>102</v>
      </c>
      <c r="B78">
        <v>30</v>
      </c>
      <c r="C78" t="s">
        <v>16</v>
      </c>
      <c r="D78" t="s">
        <v>18</v>
      </c>
      <c r="E78">
        <v>60.5</v>
      </c>
      <c r="F78">
        <v>6.8</v>
      </c>
      <c r="G78" s="14">
        <f>Stress_And_Productivity_1[[#This Row],[stress_level_0_10]]*10</f>
        <v>68</v>
      </c>
    </row>
    <row r="79" spans="1:7" x14ac:dyDescent="0.3">
      <c r="A79" t="s">
        <v>103</v>
      </c>
      <c r="B79">
        <v>27</v>
      </c>
      <c r="C79" t="s">
        <v>16</v>
      </c>
      <c r="D79" t="s">
        <v>20</v>
      </c>
      <c r="E79">
        <v>88</v>
      </c>
      <c r="F79">
        <v>2.2000000000000002</v>
      </c>
      <c r="G79" s="14">
        <f>Stress_And_Productivity_1[[#This Row],[stress_level_0_10]]*10</f>
        <v>22</v>
      </c>
    </row>
    <row r="80" spans="1:7" x14ac:dyDescent="0.3">
      <c r="A80" t="s">
        <v>104</v>
      </c>
      <c r="B80">
        <v>30</v>
      </c>
      <c r="C80" t="s">
        <v>16</v>
      </c>
      <c r="D80" t="s">
        <v>22</v>
      </c>
      <c r="E80">
        <v>41.5</v>
      </c>
      <c r="F80">
        <v>10</v>
      </c>
      <c r="G80" s="14">
        <f>Stress_And_Productivity_1[[#This Row],[stress_level_0_10]]*10</f>
        <v>100</v>
      </c>
    </row>
    <row r="81" spans="1:7" x14ac:dyDescent="0.3">
      <c r="A81" t="s">
        <v>105</v>
      </c>
      <c r="B81">
        <v>16</v>
      </c>
      <c r="C81" t="s">
        <v>16</v>
      </c>
      <c r="D81" t="s">
        <v>22</v>
      </c>
      <c r="E81">
        <v>67.7</v>
      </c>
      <c r="F81">
        <v>4.5</v>
      </c>
      <c r="G81" s="14">
        <f>Stress_And_Productivity_1[[#This Row],[stress_level_0_10]]*10</f>
        <v>45</v>
      </c>
    </row>
    <row r="82" spans="1:7" x14ac:dyDescent="0.3">
      <c r="A82" t="s">
        <v>106</v>
      </c>
      <c r="B82">
        <v>28</v>
      </c>
      <c r="C82" t="s">
        <v>16</v>
      </c>
      <c r="D82" t="s">
        <v>20</v>
      </c>
      <c r="E82">
        <v>45.5</v>
      </c>
      <c r="F82">
        <v>9.4</v>
      </c>
      <c r="G82" s="14">
        <f>Stress_And_Productivity_1[[#This Row],[stress_level_0_10]]*10</f>
        <v>94</v>
      </c>
    </row>
    <row r="83" spans="1:7" x14ac:dyDescent="0.3">
      <c r="A83" t="s">
        <v>107</v>
      </c>
      <c r="B83">
        <v>32</v>
      </c>
      <c r="C83" t="s">
        <v>16</v>
      </c>
      <c r="D83" t="s">
        <v>20</v>
      </c>
      <c r="E83">
        <v>88.3</v>
      </c>
      <c r="F83">
        <v>3</v>
      </c>
      <c r="G83" s="14">
        <f>Stress_And_Productivity_1[[#This Row],[stress_level_0_10]]*10</f>
        <v>30</v>
      </c>
    </row>
    <row r="84" spans="1:7" x14ac:dyDescent="0.3">
      <c r="A84" t="s">
        <v>108</v>
      </c>
      <c r="B84">
        <v>41</v>
      </c>
      <c r="C84" t="s">
        <v>16</v>
      </c>
      <c r="D84" t="s">
        <v>18</v>
      </c>
      <c r="E84">
        <v>66.3</v>
      </c>
      <c r="F84">
        <v>8.1999999999999993</v>
      </c>
      <c r="G84" s="14">
        <f>Stress_And_Productivity_1[[#This Row],[stress_level_0_10]]*10</f>
        <v>82</v>
      </c>
    </row>
    <row r="85" spans="1:7" x14ac:dyDescent="0.3">
      <c r="A85" t="s">
        <v>109</v>
      </c>
      <c r="B85">
        <v>25</v>
      </c>
      <c r="C85" t="s">
        <v>24</v>
      </c>
      <c r="D85" t="s">
        <v>20</v>
      </c>
      <c r="E85">
        <v>55.9</v>
      </c>
      <c r="F85">
        <v>7.1</v>
      </c>
      <c r="G85" s="14">
        <f>Stress_And_Productivity_1[[#This Row],[stress_level_0_10]]*10</f>
        <v>71</v>
      </c>
    </row>
    <row r="86" spans="1:7" x14ac:dyDescent="0.3">
      <c r="A86" t="s">
        <v>110</v>
      </c>
      <c r="B86">
        <v>23</v>
      </c>
      <c r="C86" t="s">
        <v>16</v>
      </c>
      <c r="D86" t="s">
        <v>18</v>
      </c>
      <c r="E86">
        <v>82.3</v>
      </c>
      <c r="F86">
        <v>4.5999999999999996</v>
      </c>
      <c r="G86" s="14">
        <f>Stress_And_Productivity_1[[#This Row],[stress_level_0_10]]*10</f>
        <v>46</v>
      </c>
    </row>
    <row r="87" spans="1:7" x14ac:dyDescent="0.3">
      <c r="A87" t="s">
        <v>111</v>
      </c>
      <c r="B87">
        <v>25</v>
      </c>
      <c r="C87" t="s">
        <v>24</v>
      </c>
      <c r="D87" t="s">
        <v>18</v>
      </c>
      <c r="E87">
        <v>64.400000000000006</v>
      </c>
      <c r="F87">
        <v>6.3</v>
      </c>
      <c r="G87" s="14">
        <f>Stress_And_Productivity_1[[#This Row],[stress_level_0_10]]*10</f>
        <v>63</v>
      </c>
    </row>
    <row r="88" spans="1:7" x14ac:dyDescent="0.3">
      <c r="A88" t="s">
        <v>112</v>
      </c>
      <c r="B88">
        <v>37</v>
      </c>
      <c r="C88" t="s">
        <v>24</v>
      </c>
      <c r="D88" t="s">
        <v>18</v>
      </c>
      <c r="E88">
        <v>50.4</v>
      </c>
      <c r="F88">
        <v>9.1</v>
      </c>
      <c r="G88" s="14">
        <f>Stress_And_Productivity_1[[#This Row],[stress_level_0_10]]*10</f>
        <v>91</v>
      </c>
    </row>
    <row r="89" spans="1:7" x14ac:dyDescent="0.3">
      <c r="A89" t="s">
        <v>113</v>
      </c>
      <c r="B89">
        <v>32</v>
      </c>
      <c r="C89" t="s">
        <v>16</v>
      </c>
      <c r="D89" t="s">
        <v>18</v>
      </c>
      <c r="E89">
        <v>46.5</v>
      </c>
      <c r="F89">
        <v>9.3000000000000007</v>
      </c>
      <c r="G89" s="14">
        <f>Stress_And_Productivity_1[[#This Row],[stress_level_0_10]]*10</f>
        <v>93</v>
      </c>
    </row>
    <row r="90" spans="1:7" x14ac:dyDescent="0.3">
      <c r="A90" t="s">
        <v>114</v>
      </c>
      <c r="B90">
        <v>25</v>
      </c>
      <c r="C90" t="s">
        <v>24</v>
      </c>
      <c r="D90" t="s">
        <v>22</v>
      </c>
      <c r="E90">
        <v>58.3</v>
      </c>
      <c r="F90">
        <v>6.4</v>
      </c>
      <c r="G90" s="14">
        <f>Stress_And_Productivity_1[[#This Row],[stress_level_0_10]]*10</f>
        <v>64</v>
      </c>
    </row>
    <row r="91" spans="1:7" x14ac:dyDescent="0.3">
      <c r="A91" t="s">
        <v>115</v>
      </c>
      <c r="B91">
        <v>34</v>
      </c>
      <c r="C91" t="s">
        <v>24</v>
      </c>
      <c r="D91" t="s">
        <v>20</v>
      </c>
      <c r="E91">
        <v>68.7</v>
      </c>
      <c r="F91">
        <v>6.2</v>
      </c>
      <c r="G91" s="14">
        <f>Stress_And_Productivity_1[[#This Row],[stress_level_0_10]]*10</f>
        <v>62</v>
      </c>
    </row>
    <row r="92" spans="1:7" x14ac:dyDescent="0.3">
      <c r="A92" t="s">
        <v>116</v>
      </c>
      <c r="B92">
        <v>30</v>
      </c>
      <c r="C92" t="s">
        <v>16</v>
      </c>
      <c r="D92" t="s">
        <v>18</v>
      </c>
      <c r="E92">
        <v>43.9</v>
      </c>
      <c r="F92">
        <v>10</v>
      </c>
      <c r="G92" s="14">
        <f>Stress_And_Productivity_1[[#This Row],[stress_level_0_10]]*10</f>
        <v>100</v>
      </c>
    </row>
    <row r="93" spans="1:7" x14ac:dyDescent="0.3">
      <c r="A93" t="s">
        <v>117</v>
      </c>
      <c r="B93">
        <v>37</v>
      </c>
      <c r="C93" t="s">
        <v>16</v>
      </c>
      <c r="D93" t="s">
        <v>18</v>
      </c>
      <c r="E93">
        <v>40.6</v>
      </c>
      <c r="F93">
        <v>10</v>
      </c>
      <c r="G93" s="14">
        <f>Stress_And_Productivity_1[[#This Row],[stress_level_0_10]]*10</f>
        <v>100</v>
      </c>
    </row>
    <row r="94" spans="1:7" x14ac:dyDescent="0.3">
      <c r="A94" t="s">
        <v>118</v>
      </c>
      <c r="B94">
        <v>24</v>
      </c>
      <c r="C94" t="s">
        <v>24</v>
      </c>
      <c r="D94" t="s">
        <v>22</v>
      </c>
      <c r="E94">
        <v>57.1</v>
      </c>
      <c r="F94">
        <v>8.3000000000000007</v>
      </c>
      <c r="G94" s="14">
        <f>Stress_And_Productivity_1[[#This Row],[stress_level_0_10]]*10</f>
        <v>83</v>
      </c>
    </row>
    <row r="95" spans="1:7" x14ac:dyDescent="0.3">
      <c r="A95" t="s">
        <v>119</v>
      </c>
      <c r="B95">
        <v>27</v>
      </c>
      <c r="C95" t="s">
        <v>24</v>
      </c>
      <c r="D95" t="s">
        <v>20</v>
      </c>
      <c r="E95">
        <v>49.9</v>
      </c>
      <c r="F95">
        <v>8.8000000000000007</v>
      </c>
      <c r="G95" s="14">
        <f>Stress_And_Productivity_1[[#This Row],[stress_level_0_10]]*10</f>
        <v>88</v>
      </c>
    </row>
    <row r="96" spans="1:7" x14ac:dyDescent="0.3">
      <c r="A96" t="s">
        <v>121</v>
      </c>
      <c r="B96">
        <v>18</v>
      </c>
      <c r="C96" t="s">
        <v>16</v>
      </c>
      <c r="D96" t="s">
        <v>22</v>
      </c>
      <c r="E96">
        <v>51.5</v>
      </c>
      <c r="F96">
        <v>10</v>
      </c>
      <c r="G96" s="14">
        <f>Stress_And_Productivity_1[[#This Row],[stress_level_0_10]]*10</f>
        <v>100</v>
      </c>
    </row>
    <row r="97" spans="1:7" x14ac:dyDescent="0.3">
      <c r="A97" t="s">
        <v>122</v>
      </c>
      <c r="B97">
        <v>32</v>
      </c>
      <c r="C97" t="s">
        <v>16</v>
      </c>
      <c r="D97" t="s">
        <v>18</v>
      </c>
      <c r="E97">
        <v>53.5</v>
      </c>
      <c r="F97">
        <v>8.3000000000000007</v>
      </c>
      <c r="G97" s="14">
        <f>Stress_And_Productivity_1[[#This Row],[stress_level_0_10]]*10</f>
        <v>83</v>
      </c>
    </row>
    <row r="98" spans="1:7" x14ac:dyDescent="0.3">
      <c r="A98" t="s">
        <v>123</v>
      </c>
      <c r="B98">
        <v>32</v>
      </c>
      <c r="C98" t="s">
        <v>16</v>
      </c>
      <c r="D98" t="s">
        <v>18</v>
      </c>
      <c r="E98">
        <v>48.4</v>
      </c>
      <c r="F98">
        <v>8.9</v>
      </c>
      <c r="G98" s="14">
        <f>Stress_And_Productivity_1[[#This Row],[stress_level_0_10]]*10</f>
        <v>89</v>
      </c>
    </row>
    <row r="99" spans="1:7" x14ac:dyDescent="0.3">
      <c r="A99" t="s">
        <v>124</v>
      </c>
      <c r="B99">
        <v>30</v>
      </c>
      <c r="C99" t="s">
        <v>24</v>
      </c>
      <c r="D99" t="s">
        <v>20</v>
      </c>
      <c r="E99">
        <v>61.4</v>
      </c>
      <c r="F99">
        <v>6.8</v>
      </c>
      <c r="G99" s="14">
        <f>Stress_And_Productivity_1[[#This Row],[stress_level_0_10]]*10</f>
        <v>68</v>
      </c>
    </row>
    <row r="100" spans="1:7" x14ac:dyDescent="0.3">
      <c r="A100" t="s">
        <v>125</v>
      </c>
      <c r="B100">
        <v>28</v>
      </c>
      <c r="C100" t="s">
        <v>16</v>
      </c>
      <c r="D100" t="s">
        <v>20</v>
      </c>
      <c r="E100">
        <v>53.9</v>
      </c>
      <c r="F100">
        <v>7.7</v>
      </c>
      <c r="G100" s="14">
        <f>Stress_And_Productivity_1[[#This Row],[stress_level_0_10]]*10</f>
        <v>77</v>
      </c>
    </row>
    <row r="101" spans="1:7" x14ac:dyDescent="0.3">
      <c r="A101" t="s">
        <v>126</v>
      </c>
      <c r="B101">
        <v>18</v>
      </c>
      <c r="C101" t="s">
        <v>16</v>
      </c>
      <c r="D101" t="s">
        <v>18</v>
      </c>
      <c r="E101">
        <v>58.5</v>
      </c>
      <c r="F101">
        <v>9.1999999999999993</v>
      </c>
      <c r="G101" s="14">
        <f>Stress_And_Productivity_1[[#This Row],[stress_level_0_10]]*10</f>
        <v>92</v>
      </c>
    </row>
    <row r="102" spans="1:7" x14ac:dyDescent="0.3">
      <c r="A102" t="s">
        <v>127</v>
      </c>
      <c r="B102">
        <v>26</v>
      </c>
      <c r="C102" t="s">
        <v>24</v>
      </c>
      <c r="D102" t="s">
        <v>20</v>
      </c>
      <c r="E102">
        <v>45.4</v>
      </c>
      <c r="F102">
        <v>9.5</v>
      </c>
      <c r="G102" s="14">
        <f>Stress_And_Productivity_1[[#This Row],[stress_level_0_10]]*10</f>
        <v>95</v>
      </c>
    </row>
    <row r="103" spans="1:7" x14ac:dyDescent="0.3">
      <c r="A103" t="s">
        <v>128</v>
      </c>
      <c r="B103">
        <v>27</v>
      </c>
      <c r="C103" t="s">
        <v>16</v>
      </c>
      <c r="D103" t="s">
        <v>22</v>
      </c>
      <c r="E103">
        <v>74.8</v>
      </c>
      <c r="F103">
        <v>5.0999999999999996</v>
      </c>
      <c r="G103" s="14">
        <f>Stress_And_Productivity_1[[#This Row],[stress_level_0_10]]*10</f>
        <v>51</v>
      </c>
    </row>
    <row r="104" spans="1:7" x14ac:dyDescent="0.3">
      <c r="A104" t="s">
        <v>129</v>
      </c>
      <c r="B104">
        <v>23</v>
      </c>
      <c r="C104" t="s">
        <v>16</v>
      </c>
      <c r="D104" t="s">
        <v>20</v>
      </c>
      <c r="E104">
        <v>66.8</v>
      </c>
      <c r="F104">
        <v>7</v>
      </c>
      <c r="G104" s="14">
        <f>Stress_And_Productivity_1[[#This Row],[stress_level_0_10]]*10</f>
        <v>70</v>
      </c>
    </row>
    <row r="105" spans="1:7" x14ac:dyDescent="0.3">
      <c r="A105" t="s">
        <v>130</v>
      </c>
      <c r="B105">
        <v>28</v>
      </c>
      <c r="C105" t="s">
        <v>24</v>
      </c>
      <c r="D105" t="s">
        <v>18</v>
      </c>
      <c r="E105">
        <v>33.200000000000003</v>
      </c>
      <c r="F105">
        <v>10</v>
      </c>
      <c r="G105" s="14">
        <f>Stress_And_Productivity_1[[#This Row],[stress_level_0_10]]*10</f>
        <v>100</v>
      </c>
    </row>
    <row r="106" spans="1:7" x14ac:dyDescent="0.3">
      <c r="A106" t="s">
        <v>131</v>
      </c>
      <c r="B106">
        <v>33</v>
      </c>
      <c r="C106" t="s">
        <v>24</v>
      </c>
      <c r="D106" t="s">
        <v>22</v>
      </c>
      <c r="E106">
        <v>68.3</v>
      </c>
      <c r="F106">
        <v>4.3</v>
      </c>
      <c r="G106" s="14">
        <f>Stress_And_Productivity_1[[#This Row],[stress_level_0_10]]*10</f>
        <v>43</v>
      </c>
    </row>
    <row r="107" spans="1:7" x14ac:dyDescent="0.3">
      <c r="A107" t="s">
        <v>132</v>
      </c>
      <c r="B107">
        <v>45</v>
      </c>
      <c r="C107" t="s">
        <v>16</v>
      </c>
      <c r="D107" t="s">
        <v>18</v>
      </c>
      <c r="E107">
        <v>36.1</v>
      </c>
      <c r="F107">
        <v>9.5</v>
      </c>
      <c r="G107" s="14">
        <f>Stress_And_Productivity_1[[#This Row],[stress_level_0_10]]*10</f>
        <v>95</v>
      </c>
    </row>
    <row r="108" spans="1:7" x14ac:dyDescent="0.3">
      <c r="A108" t="s">
        <v>133</v>
      </c>
      <c r="B108">
        <v>31</v>
      </c>
      <c r="C108" t="s">
        <v>24</v>
      </c>
      <c r="D108" t="s">
        <v>22</v>
      </c>
      <c r="E108">
        <v>36.4</v>
      </c>
      <c r="F108">
        <v>10</v>
      </c>
      <c r="G108" s="14">
        <f>Stress_And_Productivity_1[[#This Row],[stress_level_0_10]]*10</f>
        <v>100</v>
      </c>
    </row>
    <row r="109" spans="1:7" x14ac:dyDescent="0.3">
      <c r="A109" t="s">
        <v>134</v>
      </c>
      <c r="B109">
        <v>32</v>
      </c>
      <c r="C109" t="s">
        <v>16</v>
      </c>
      <c r="D109" t="s">
        <v>18</v>
      </c>
      <c r="E109">
        <v>26</v>
      </c>
      <c r="F109">
        <v>10</v>
      </c>
      <c r="G109" s="14">
        <f>Stress_And_Productivity_1[[#This Row],[stress_level_0_10]]*10</f>
        <v>100</v>
      </c>
    </row>
    <row r="110" spans="1:7" x14ac:dyDescent="0.3">
      <c r="A110" t="s">
        <v>135</v>
      </c>
      <c r="B110">
        <v>29</v>
      </c>
      <c r="C110" t="s">
        <v>16</v>
      </c>
      <c r="D110" t="s">
        <v>18</v>
      </c>
      <c r="E110">
        <v>44.8</v>
      </c>
      <c r="F110">
        <v>9.6</v>
      </c>
      <c r="G110" s="14">
        <f>Stress_And_Productivity_1[[#This Row],[stress_level_0_10]]*10</f>
        <v>96</v>
      </c>
    </row>
    <row r="111" spans="1:7" x14ac:dyDescent="0.3">
      <c r="A111" t="s">
        <v>136</v>
      </c>
      <c r="B111">
        <v>16</v>
      </c>
      <c r="C111" t="s">
        <v>24</v>
      </c>
      <c r="D111" t="s">
        <v>22</v>
      </c>
      <c r="E111">
        <v>86.8</v>
      </c>
      <c r="F111">
        <v>5</v>
      </c>
      <c r="G111" s="14">
        <f>Stress_And_Productivity_1[[#This Row],[stress_level_0_10]]*10</f>
        <v>50</v>
      </c>
    </row>
    <row r="112" spans="1:7" x14ac:dyDescent="0.3">
      <c r="A112" t="s">
        <v>137</v>
      </c>
      <c r="B112">
        <v>29</v>
      </c>
      <c r="C112" t="s">
        <v>16</v>
      </c>
      <c r="D112" t="s">
        <v>20</v>
      </c>
      <c r="E112">
        <v>42.3</v>
      </c>
      <c r="F112">
        <v>10</v>
      </c>
      <c r="G112" s="14">
        <f>Stress_And_Productivity_1[[#This Row],[stress_level_0_10]]*10</f>
        <v>100</v>
      </c>
    </row>
    <row r="113" spans="1:7" x14ac:dyDescent="0.3">
      <c r="A113" t="s">
        <v>138</v>
      </c>
      <c r="B113">
        <v>30</v>
      </c>
      <c r="C113" t="s">
        <v>16</v>
      </c>
      <c r="D113" t="s">
        <v>18</v>
      </c>
      <c r="E113">
        <v>35.9</v>
      </c>
      <c r="F113">
        <v>9.1999999999999993</v>
      </c>
      <c r="G113" s="14">
        <f>Stress_And_Productivity_1[[#This Row],[stress_level_0_10]]*10</f>
        <v>92</v>
      </c>
    </row>
    <row r="114" spans="1:7" x14ac:dyDescent="0.3">
      <c r="A114" t="s">
        <v>139</v>
      </c>
      <c r="B114">
        <v>49</v>
      </c>
      <c r="C114" t="s">
        <v>16</v>
      </c>
      <c r="D114" t="s">
        <v>22</v>
      </c>
      <c r="E114">
        <v>56.7</v>
      </c>
      <c r="F114">
        <v>7.1</v>
      </c>
      <c r="G114" s="14">
        <f>Stress_And_Productivity_1[[#This Row],[stress_level_0_10]]*10</f>
        <v>71</v>
      </c>
    </row>
    <row r="115" spans="1:7" x14ac:dyDescent="0.3">
      <c r="A115" t="s">
        <v>140</v>
      </c>
      <c r="B115">
        <v>28</v>
      </c>
      <c r="C115" t="s">
        <v>16</v>
      </c>
      <c r="D115" t="s">
        <v>20</v>
      </c>
      <c r="E115">
        <v>37.299999999999997</v>
      </c>
      <c r="F115">
        <v>10</v>
      </c>
      <c r="G115" s="14">
        <f>Stress_And_Productivity_1[[#This Row],[stress_level_0_10]]*10</f>
        <v>100</v>
      </c>
    </row>
    <row r="116" spans="1:7" x14ac:dyDescent="0.3">
      <c r="A116" t="s">
        <v>141</v>
      </c>
      <c r="B116">
        <v>32</v>
      </c>
      <c r="C116" t="s">
        <v>16</v>
      </c>
      <c r="D116" t="s">
        <v>18</v>
      </c>
      <c r="E116">
        <v>52.6</v>
      </c>
      <c r="F116">
        <v>6.9</v>
      </c>
      <c r="G116" s="14">
        <f>Stress_And_Productivity_1[[#This Row],[stress_level_0_10]]*10</f>
        <v>69</v>
      </c>
    </row>
    <row r="117" spans="1:7" x14ac:dyDescent="0.3">
      <c r="A117" t="s">
        <v>142</v>
      </c>
      <c r="B117">
        <v>29</v>
      </c>
      <c r="C117" t="s">
        <v>16</v>
      </c>
      <c r="D117" t="s">
        <v>22</v>
      </c>
      <c r="E117">
        <v>55.1</v>
      </c>
      <c r="F117">
        <v>9.3000000000000007</v>
      </c>
      <c r="G117" s="14">
        <f>Stress_And_Productivity_1[[#This Row],[stress_level_0_10]]*10</f>
        <v>93</v>
      </c>
    </row>
    <row r="118" spans="1:7" x14ac:dyDescent="0.3">
      <c r="A118" t="s">
        <v>143</v>
      </c>
      <c r="B118">
        <v>20</v>
      </c>
      <c r="C118" t="s">
        <v>16</v>
      </c>
      <c r="D118" t="s">
        <v>22</v>
      </c>
      <c r="E118">
        <v>56.2</v>
      </c>
      <c r="F118">
        <v>8.4</v>
      </c>
      <c r="G118" s="14">
        <f>Stress_And_Productivity_1[[#This Row],[stress_level_0_10]]*10</f>
        <v>84</v>
      </c>
    </row>
    <row r="119" spans="1:7" x14ac:dyDescent="0.3">
      <c r="A119" t="s">
        <v>145</v>
      </c>
      <c r="B119">
        <v>36</v>
      </c>
      <c r="C119" t="s">
        <v>24</v>
      </c>
      <c r="D119" t="s">
        <v>18</v>
      </c>
      <c r="E119">
        <v>47.2</v>
      </c>
      <c r="F119">
        <v>10</v>
      </c>
      <c r="G119" s="14">
        <f>Stress_And_Productivity_1[[#This Row],[stress_level_0_10]]*10</f>
        <v>100</v>
      </c>
    </row>
    <row r="120" spans="1:7" x14ac:dyDescent="0.3">
      <c r="A120" t="s">
        <v>146</v>
      </c>
      <c r="B120">
        <v>36</v>
      </c>
      <c r="C120" t="s">
        <v>24</v>
      </c>
      <c r="D120" t="s">
        <v>22</v>
      </c>
      <c r="E120">
        <v>52.1</v>
      </c>
      <c r="F120">
        <v>10</v>
      </c>
      <c r="G120" s="14">
        <f>Stress_And_Productivity_1[[#This Row],[stress_level_0_10]]*10</f>
        <v>100</v>
      </c>
    </row>
    <row r="121" spans="1:7" x14ac:dyDescent="0.3">
      <c r="A121" t="s">
        <v>147</v>
      </c>
      <c r="B121">
        <v>22</v>
      </c>
      <c r="C121" t="s">
        <v>24</v>
      </c>
      <c r="D121" t="s">
        <v>20</v>
      </c>
      <c r="E121">
        <v>73</v>
      </c>
      <c r="F121">
        <v>6.7</v>
      </c>
      <c r="G121" s="14">
        <f>Stress_And_Productivity_1[[#This Row],[stress_level_0_10]]*10</f>
        <v>67</v>
      </c>
    </row>
    <row r="122" spans="1:7" x14ac:dyDescent="0.3">
      <c r="A122" t="s">
        <v>148</v>
      </c>
      <c r="B122">
        <v>41</v>
      </c>
      <c r="C122" t="s">
        <v>24</v>
      </c>
      <c r="D122" t="s">
        <v>20</v>
      </c>
      <c r="E122">
        <v>80.400000000000006</v>
      </c>
      <c r="F122">
        <v>6.6</v>
      </c>
      <c r="G122" s="14">
        <f>Stress_And_Productivity_1[[#This Row],[stress_level_0_10]]*10</f>
        <v>66</v>
      </c>
    </row>
    <row r="123" spans="1:7" x14ac:dyDescent="0.3">
      <c r="A123" t="s">
        <v>149</v>
      </c>
      <c r="B123">
        <v>18</v>
      </c>
      <c r="C123" t="s">
        <v>16</v>
      </c>
      <c r="D123" t="s">
        <v>22</v>
      </c>
      <c r="E123">
        <v>40.9</v>
      </c>
      <c r="F123">
        <v>10</v>
      </c>
      <c r="G123" s="14">
        <f>Stress_And_Productivity_1[[#This Row],[stress_level_0_10]]*10</f>
        <v>100</v>
      </c>
    </row>
    <row r="124" spans="1:7" x14ac:dyDescent="0.3">
      <c r="A124" t="s">
        <v>150</v>
      </c>
      <c r="B124">
        <v>34</v>
      </c>
      <c r="C124" t="s">
        <v>16</v>
      </c>
      <c r="D124" t="s">
        <v>22</v>
      </c>
      <c r="E124">
        <v>70.8</v>
      </c>
      <c r="F124">
        <v>8.1</v>
      </c>
      <c r="G124" s="14">
        <f>Stress_And_Productivity_1[[#This Row],[stress_level_0_10]]*10</f>
        <v>81</v>
      </c>
    </row>
    <row r="125" spans="1:7" x14ac:dyDescent="0.3">
      <c r="A125" t="s">
        <v>151</v>
      </c>
      <c r="B125">
        <v>47</v>
      </c>
      <c r="C125" t="s">
        <v>24</v>
      </c>
      <c r="D125" t="s">
        <v>22</v>
      </c>
      <c r="E125">
        <v>49.3</v>
      </c>
      <c r="F125">
        <v>9.4</v>
      </c>
      <c r="G125" s="14">
        <f>Stress_And_Productivity_1[[#This Row],[stress_level_0_10]]*10</f>
        <v>94</v>
      </c>
    </row>
    <row r="126" spans="1:7" x14ac:dyDescent="0.3">
      <c r="A126" t="s">
        <v>152</v>
      </c>
      <c r="B126">
        <v>22</v>
      </c>
      <c r="C126" t="s">
        <v>24</v>
      </c>
      <c r="D126" t="s">
        <v>20</v>
      </c>
      <c r="E126">
        <v>67.400000000000006</v>
      </c>
      <c r="F126">
        <v>4.8</v>
      </c>
      <c r="G126" s="14">
        <f>Stress_And_Productivity_1[[#This Row],[stress_level_0_10]]*10</f>
        <v>48</v>
      </c>
    </row>
    <row r="127" spans="1:7" x14ac:dyDescent="0.3">
      <c r="A127" t="s">
        <v>153</v>
      </c>
      <c r="B127">
        <v>25</v>
      </c>
      <c r="C127" t="s">
        <v>24</v>
      </c>
      <c r="D127" t="s">
        <v>22</v>
      </c>
      <c r="E127">
        <v>59.5</v>
      </c>
      <c r="F127">
        <v>8.9</v>
      </c>
      <c r="G127" s="14">
        <f>Stress_And_Productivity_1[[#This Row],[stress_level_0_10]]*10</f>
        <v>89</v>
      </c>
    </row>
    <row r="128" spans="1:7" x14ac:dyDescent="0.3">
      <c r="A128" t="s">
        <v>154</v>
      </c>
      <c r="B128">
        <v>30</v>
      </c>
      <c r="C128" t="s">
        <v>16</v>
      </c>
      <c r="D128" t="s">
        <v>18</v>
      </c>
      <c r="E128">
        <v>40.9</v>
      </c>
      <c r="F128">
        <v>10</v>
      </c>
      <c r="G128" s="14">
        <f>Stress_And_Productivity_1[[#This Row],[stress_level_0_10]]*10</f>
        <v>100</v>
      </c>
    </row>
    <row r="129" spans="1:7" x14ac:dyDescent="0.3">
      <c r="A129" t="s">
        <v>155</v>
      </c>
      <c r="B129">
        <v>25</v>
      </c>
      <c r="C129" t="s">
        <v>16</v>
      </c>
      <c r="D129" t="s">
        <v>20</v>
      </c>
      <c r="E129">
        <v>56.7</v>
      </c>
      <c r="F129">
        <v>7.9</v>
      </c>
      <c r="G129" s="14">
        <f>Stress_And_Productivity_1[[#This Row],[stress_level_0_10]]*10</f>
        <v>79</v>
      </c>
    </row>
    <row r="130" spans="1:7" x14ac:dyDescent="0.3">
      <c r="A130" t="s">
        <v>156</v>
      </c>
      <c r="B130">
        <v>17</v>
      </c>
      <c r="C130" t="s">
        <v>16</v>
      </c>
      <c r="D130" t="s">
        <v>22</v>
      </c>
      <c r="E130">
        <v>79</v>
      </c>
      <c r="F130">
        <v>3.7</v>
      </c>
      <c r="G130" s="14">
        <f>Stress_And_Productivity_1[[#This Row],[stress_level_0_10]]*10</f>
        <v>37</v>
      </c>
    </row>
    <row r="131" spans="1:7" x14ac:dyDescent="0.3">
      <c r="A131" t="s">
        <v>157</v>
      </c>
      <c r="B131">
        <v>30</v>
      </c>
      <c r="C131" t="s">
        <v>16</v>
      </c>
      <c r="D131" t="s">
        <v>22</v>
      </c>
      <c r="E131">
        <v>60</v>
      </c>
      <c r="F131">
        <v>8.3000000000000007</v>
      </c>
      <c r="G131" s="14">
        <f>Stress_And_Productivity_1[[#This Row],[stress_level_0_10]]*10</f>
        <v>83</v>
      </c>
    </row>
    <row r="132" spans="1:7" x14ac:dyDescent="0.3">
      <c r="A132" t="s">
        <v>158</v>
      </c>
      <c r="B132">
        <v>21</v>
      </c>
      <c r="C132" t="s">
        <v>24</v>
      </c>
      <c r="D132" t="s">
        <v>18</v>
      </c>
      <c r="E132">
        <v>56.1</v>
      </c>
      <c r="F132">
        <v>8.8000000000000007</v>
      </c>
      <c r="G132" s="14">
        <f>Stress_And_Productivity_1[[#This Row],[stress_level_0_10]]*10</f>
        <v>88</v>
      </c>
    </row>
    <row r="133" spans="1:7" x14ac:dyDescent="0.3">
      <c r="A133" t="s">
        <v>159</v>
      </c>
      <c r="B133">
        <v>33</v>
      </c>
      <c r="C133" t="s">
        <v>24</v>
      </c>
      <c r="D133" t="s">
        <v>22</v>
      </c>
      <c r="E133">
        <v>39.4</v>
      </c>
      <c r="F133">
        <v>10</v>
      </c>
      <c r="G133" s="14">
        <f>Stress_And_Productivity_1[[#This Row],[stress_level_0_10]]*10</f>
        <v>100</v>
      </c>
    </row>
    <row r="134" spans="1:7" x14ac:dyDescent="0.3">
      <c r="A134" t="s">
        <v>160</v>
      </c>
      <c r="B134">
        <v>22</v>
      </c>
      <c r="C134" t="s">
        <v>16</v>
      </c>
      <c r="D134" t="s">
        <v>18</v>
      </c>
      <c r="E134">
        <v>64.099999999999994</v>
      </c>
      <c r="F134">
        <v>6.4</v>
      </c>
      <c r="G134" s="14">
        <f>Stress_And_Productivity_1[[#This Row],[stress_level_0_10]]*10</f>
        <v>64</v>
      </c>
    </row>
    <row r="135" spans="1:7" x14ac:dyDescent="0.3">
      <c r="A135" t="s">
        <v>161</v>
      </c>
      <c r="B135">
        <v>42</v>
      </c>
      <c r="C135" t="s">
        <v>28</v>
      </c>
      <c r="D135" t="s">
        <v>22</v>
      </c>
      <c r="E135">
        <v>68.8</v>
      </c>
      <c r="F135">
        <v>5.8</v>
      </c>
      <c r="G135" s="14">
        <f>Stress_And_Productivity_1[[#This Row],[stress_level_0_10]]*10</f>
        <v>58</v>
      </c>
    </row>
    <row r="136" spans="1:7" x14ac:dyDescent="0.3">
      <c r="A136" t="s">
        <v>162</v>
      </c>
      <c r="B136">
        <v>23</v>
      </c>
      <c r="C136" t="s">
        <v>24</v>
      </c>
      <c r="D136" t="s">
        <v>18</v>
      </c>
      <c r="E136">
        <v>50.5</v>
      </c>
      <c r="F136">
        <v>10</v>
      </c>
      <c r="G136" s="14">
        <f>Stress_And_Productivity_1[[#This Row],[stress_level_0_10]]*10</f>
        <v>100</v>
      </c>
    </row>
    <row r="137" spans="1:7" x14ac:dyDescent="0.3">
      <c r="A137" t="s">
        <v>163</v>
      </c>
      <c r="B137">
        <v>27</v>
      </c>
      <c r="C137" t="s">
        <v>16</v>
      </c>
      <c r="D137" t="s">
        <v>22</v>
      </c>
      <c r="E137">
        <v>34.4</v>
      </c>
      <c r="F137">
        <v>10</v>
      </c>
      <c r="G137" s="14">
        <f>Stress_And_Productivity_1[[#This Row],[stress_level_0_10]]*10</f>
        <v>100</v>
      </c>
    </row>
    <row r="138" spans="1:7" x14ac:dyDescent="0.3">
      <c r="A138" t="s">
        <v>164</v>
      </c>
      <c r="B138">
        <v>36</v>
      </c>
      <c r="C138" t="s">
        <v>16</v>
      </c>
      <c r="D138" t="s">
        <v>20</v>
      </c>
      <c r="E138">
        <v>79.099999999999994</v>
      </c>
      <c r="F138">
        <v>5.2</v>
      </c>
      <c r="G138" s="14">
        <f>Stress_And_Productivity_1[[#This Row],[stress_level_0_10]]*10</f>
        <v>52</v>
      </c>
    </row>
    <row r="139" spans="1:7" x14ac:dyDescent="0.3">
      <c r="A139" t="s">
        <v>165</v>
      </c>
      <c r="B139">
        <v>20</v>
      </c>
      <c r="C139" t="s">
        <v>16</v>
      </c>
      <c r="D139" t="s">
        <v>18</v>
      </c>
      <c r="E139">
        <v>56.2</v>
      </c>
      <c r="F139">
        <v>8.5</v>
      </c>
      <c r="G139" s="14">
        <f>Stress_And_Productivity_1[[#This Row],[stress_level_0_10]]*10</f>
        <v>85</v>
      </c>
    </row>
    <row r="140" spans="1:7" x14ac:dyDescent="0.3">
      <c r="A140" t="s">
        <v>166</v>
      </c>
      <c r="B140">
        <v>31</v>
      </c>
      <c r="C140" t="s">
        <v>16</v>
      </c>
      <c r="D140" t="s">
        <v>20</v>
      </c>
      <c r="E140">
        <v>41.2</v>
      </c>
      <c r="F140">
        <v>10</v>
      </c>
      <c r="G140" s="14">
        <f>Stress_And_Productivity_1[[#This Row],[stress_level_0_10]]*10</f>
        <v>100</v>
      </c>
    </row>
    <row r="141" spans="1:7" x14ac:dyDescent="0.3">
      <c r="A141" t="s">
        <v>167</v>
      </c>
      <c r="B141">
        <v>40</v>
      </c>
      <c r="C141" t="s">
        <v>16</v>
      </c>
      <c r="D141" t="s">
        <v>18</v>
      </c>
      <c r="E141">
        <v>73.599999999999994</v>
      </c>
      <c r="F141">
        <v>6.8</v>
      </c>
      <c r="G141" s="14">
        <f>Stress_And_Productivity_1[[#This Row],[stress_level_0_10]]*10</f>
        <v>68</v>
      </c>
    </row>
    <row r="142" spans="1:7" x14ac:dyDescent="0.3">
      <c r="A142" t="s">
        <v>168</v>
      </c>
      <c r="B142">
        <v>17</v>
      </c>
      <c r="C142" t="s">
        <v>16</v>
      </c>
      <c r="D142" t="s">
        <v>20</v>
      </c>
      <c r="E142">
        <v>79.599999999999994</v>
      </c>
      <c r="F142">
        <v>2.9</v>
      </c>
      <c r="G142" s="14">
        <f>Stress_And_Productivity_1[[#This Row],[stress_level_0_10]]*10</f>
        <v>29</v>
      </c>
    </row>
    <row r="143" spans="1:7" x14ac:dyDescent="0.3">
      <c r="A143" t="s">
        <v>169</v>
      </c>
      <c r="B143">
        <v>31</v>
      </c>
      <c r="C143" t="s">
        <v>16</v>
      </c>
      <c r="D143" t="s">
        <v>20</v>
      </c>
      <c r="E143">
        <v>67.099999999999994</v>
      </c>
      <c r="F143">
        <v>5.5</v>
      </c>
      <c r="G143" s="14">
        <f>Stress_And_Productivity_1[[#This Row],[stress_level_0_10]]*10</f>
        <v>55</v>
      </c>
    </row>
    <row r="144" spans="1:7" x14ac:dyDescent="0.3">
      <c r="A144" t="s">
        <v>170</v>
      </c>
      <c r="B144">
        <v>32</v>
      </c>
      <c r="C144" t="s">
        <v>16</v>
      </c>
      <c r="D144" t="s">
        <v>22</v>
      </c>
      <c r="E144">
        <v>54.4</v>
      </c>
      <c r="F144">
        <v>6.2</v>
      </c>
      <c r="G144" s="14">
        <f>Stress_And_Productivity_1[[#This Row],[stress_level_0_10]]*10</f>
        <v>62</v>
      </c>
    </row>
    <row r="145" spans="1:7" x14ac:dyDescent="0.3">
      <c r="A145" t="s">
        <v>171</v>
      </c>
      <c r="B145">
        <v>36</v>
      </c>
      <c r="C145" t="s">
        <v>24</v>
      </c>
      <c r="D145" t="s">
        <v>22</v>
      </c>
      <c r="E145">
        <v>36.4</v>
      </c>
      <c r="F145">
        <v>10</v>
      </c>
      <c r="G145" s="14">
        <f>Stress_And_Productivity_1[[#This Row],[stress_level_0_10]]*10</f>
        <v>100</v>
      </c>
    </row>
    <row r="146" spans="1:7" x14ac:dyDescent="0.3">
      <c r="A146" t="s">
        <v>173</v>
      </c>
      <c r="B146">
        <v>19</v>
      </c>
      <c r="C146" t="s">
        <v>24</v>
      </c>
      <c r="D146" t="s">
        <v>18</v>
      </c>
      <c r="E146">
        <v>44.2</v>
      </c>
      <c r="F146">
        <v>10</v>
      </c>
      <c r="G146" s="14">
        <f>Stress_And_Productivity_1[[#This Row],[stress_level_0_10]]*10</f>
        <v>100</v>
      </c>
    </row>
    <row r="147" spans="1:7" x14ac:dyDescent="0.3">
      <c r="A147" t="s">
        <v>174</v>
      </c>
      <c r="B147">
        <v>34</v>
      </c>
      <c r="C147" t="s">
        <v>16</v>
      </c>
      <c r="D147" t="s">
        <v>18</v>
      </c>
      <c r="E147">
        <v>64.8</v>
      </c>
      <c r="F147">
        <v>3.6</v>
      </c>
      <c r="G147" s="14">
        <f>Stress_And_Productivity_1[[#This Row],[stress_level_0_10]]*10</f>
        <v>36</v>
      </c>
    </row>
    <row r="148" spans="1:7" x14ac:dyDescent="0.3">
      <c r="A148" t="s">
        <v>175</v>
      </c>
      <c r="B148">
        <v>32</v>
      </c>
      <c r="C148" t="s">
        <v>28</v>
      </c>
      <c r="D148" t="s">
        <v>22</v>
      </c>
      <c r="E148">
        <v>45.4</v>
      </c>
      <c r="F148">
        <v>9</v>
      </c>
      <c r="G148" s="14">
        <f>Stress_And_Productivity_1[[#This Row],[stress_level_0_10]]*10</f>
        <v>90</v>
      </c>
    </row>
    <row r="149" spans="1:7" x14ac:dyDescent="0.3">
      <c r="A149" t="s">
        <v>176</v>
      </c>
      <c r="B149">
        <v>32</v>
      </c>
      <c r="C149" t="s">
        <v>16</v>
      </c>
      <c r="D149" t="s">
        <v>20</v>
      </c>
      <c r="E149">
        <v>37.9</v>
      </c>
      <c r="F149">
        <v>10</v>
      </c>
      <c r="G149" s="14">
        <f>Stress_And_Productivity_1[[#This Row],[stress_level_0_10]]*10</f>
        <v>100</v>
      </c>
    </row>
    <row r="150" spans="1:7" x14ac:dyDescent="0.3">
      <c r="A150" t="s">
        <v>177</v>
      </c>
      <c r="B150">
        <v>32</v>
      </c>
      <c r="C150" t="s">
        <v>16</v>
      </c>
      <c r="D150" t="s">
        <v>20</v>
      </c>
      <c r="E150">
        <v>51</v>
      </c>
      <c r="F150">
        <v>8.1999999999999993</v>
      </c>
      <c r="G150" s="14">
        <f>Stress_And_Productivity_1[[#This Row],[stress_level_0_10]]*10</f>
        <v>82</v>
      </c>
    </row>
    <row r="151" spans="1:7" x14ac:dyDescent="0.3">
      <c r="A151" t="s">
        <v>178</v>
      </c>
      <c r="B151">
        <v>24</v>
      </c>
      <c r="C151" t="s">
        <v>24</v>
      </c>
      <c r="D151" t="s">
        <v>20</v>
      </c>
      <c r="E151">
        <v>50.4</v>
      </c>
      <c r="F151">
        <v>9.5</v>
      </c>
      <c r="G151" s="14">
        <f>Stress_And_Productivity_1[[#This Row],[stress_level_0_10]]*10</f>
        <v>95</v>
      </c>
    </row>
    <row r="152" spans="1:7" x14ac:dyDescent="0.3">
      <c r="A152" t="s">
        <v>179</v>
      </c>
      <c r="B152">
        <v>31</v>
      </c>
      <c r="C152" t="s">
        <v>24</v>
      </c>
      <c r="D152" t="s">
        <v>22</v>
      </c>
      <c r="E152">
        <v>48.5</v>
      </c>
      <c r="F152">
        <v>7.9</v>
      </c>
      <c r="G152" s="14">
        <f>Stress_And_Productivity_1[[#This Row],[stress_level_0_10]]*10</f>
        <v>79</v>
      </c>
    </row>
    <row r="153" spans="1:7" x14ac:dyDescent="0.3">
      <c r="A153" t="s">
        <v>180</v>
      </c>
      <c r="B153">
        <v>32</v>
      </c>
      <c r="C153" t="s">
        <v>24</v>
      </c>
      <c r="D153" t="s">
        <v>20</v>
      </c>
      <c r="E153">
        <v>77.900000000000006</v>
      </c>
      <c r="F153">
        <v>5.5</v>
      </c>
      <c r="G153" s="14">
        <f>Stress_And_Productivity_1[[#This Row],[stress_level_0_10]]*10</f>
        <v>55</v>
      </c>
    </row>
    <row r="154" spans="1:7" x14ac:dyDescent="0.3">
      <c r="A154" t="s">
        <v>181</v>
      </c>
      <c r="B154">
        <v>24</v>
      </c>
      <c r="C154" t="s">
        <v>16</v>
      </c>
      <c r="D154" t="s">
        <v>18</v>
      </c>
      <c r="E154">
        <v>33.1</v>
      </c>
      <c r="F154">
        <v>10</v>
      </c>
      <c r="G154" s="14">
        <f>Stress_And_Productivity_1[[#This Row],[stress_level_0_10]]*10</f>
        <v>100</v>
      </c>
    </row>
    <row r="155" spans="1:7" x14ac:dyDescent="0.3">
      <c r="A155" t="s">
        <v>182</v>
      </c>
      <c r="B155">
        <v>44</v>
      </c>
      <c r="C155" t="s">
        <v>16</v>
      </c>
      <c r="D155" t="s">
        <v>22</v>
      </c>
      <c r="E155">
        <v>44.6</v>
      </c>
      <c r="F155">
        <v>9.9</v>
      </c>
      <c r="G155" s="14">
        <f>Stress_And_Productivity_1[[#This Row],[stress_level_0_10]]*10</f>
        <v>99</v>
      </c>
    </row>
    <row r="156" spans="1:7" x14ac:dyDescent="0.3">
      <c r="A156" t="s">
        <v>183</v>
      </c>
      <c r="B156">
        <v>33</v>
      </c>
      <c r="C156" t="s">
        <v>24</v>
      </c>
      <c r="D156" t="s">
        <v>18</v>
      </c>
      <c r="E156">
        <v>37.700000000000003</v>
      </c>
      <c r="F156">
        <v>10</v>
      </c>
      <c r="G156" s="14">
        <f>Stress_And_Productivity_1[[#This Row],[stress_level_0_10]]*10</f>
        <v>100</v>
      </c>
    </row>
    <row r="157" spans="1:7" x14ac:dyDescent="0.3">
      <c r="A157" t="s">
        <v>184</v>
      </c>
      <c r="B157">
        <v>20</v>
      </c>
      <c r="C157" t="s">
        <v>24</v>
      </c>
      <c r="D157" t="s">
        <v>18</v>
      </c>
      <c r="E157">
        <v>58.2</v>
      </c>
      <c r="F157">
        <v>7.8</v>
      </c>
      <c r="G157" s="14">
        <f>Stress_And_Productivity_1[[#This Row],[stress_level_0_10]]*10</f>
        <v>78</v>
      </c>
    </row>
    <row r="158" spans="1:7" x14ac:dyDescent="0.3">
      <c r="A158" t="s">
        <v>185</v>
      </c>
      <c r="B158">
        <v>35</v>
      </c>
      <c r="C158" t="s">
        <v>24</v>
      </c>
      <c r="D158" t="s">
        <v>22</v>
      </c>
      <c r="E158">
        <v>55.6</v>
      </c>
      <c r="F158">
        <v>8.4</v>
      </c>
      <c r="G158" s="14">
        <f>Stress_And_Productivity_1[[#This Row],[stress_level_0_10]]*10</f>
        <v>84</v>
      </c>
    </row>
    <row r="159" spans="1:7" x14ac:dyDescent="0.3">
      <c r="A159" t="s">
        <v>186</v>
      </c>
      <c r="B159">
        <v>22</v>
      </c>
      <c r="C159" t="s">
        <v>24</v>
      </c>
      <c r="D159" t="s">
        <v>22</v>
      </c>
      <c r="E159">
        <v>45.5</v>
      </c>
      <c r="F159">
        <v>10</v>
      </c>
      <c r="G159" s="14">
        <f>Stress_And_Productivity_1[[#This Row],[stress_level_0_10]]*10</f>
        <v>100</v>
      </c>
    </row>
    <row r="160" spans="1:7" x14ac:dyDescent="0.3">
      <c r="A160" t="s">
        <v>187</v>
      </c>
      <c r="B160">
        <v>36</v>
      </c>
      <c r="C160" t="s">
        <v>16</v>
      </c>
      <c r="D160" t="s">
        <v>22</v>
      </c>
      <c r="E160">
        <v>52.8</v>
      </c>
      <c r="F160">
        <v>10</v>
      </c>
      <c r="G160" s="14">
        <f>Stress_And_Productivity_1[[#This Row],[stress_level_0_10]]*10</f>
        <v>100</v>
      </c>
    </row>
    <row r="161" spans="1:7" x14ac:dyDescent="0.3">
      <c r="A161" t="s">
        <v>188</v>
      </c>
      <c r="B161">
        <v>39</v>
      </c>
      <c r="C161" t="s">
        <v>24</v>
      </c>
      <c r="D161" t="s">
        <v>18</v>
      </c>
      <c r="E161">
        <v>43.7</v>
      </c>
      <c r="F161">
        <v>10</v>
      </c>
      <c r="G161" s="14">
        <f>Stress_And_Productivity_1[[#This Row],[stress_level_0_10]]*10</f>
        <v>100</v>
      </c>
    </row>
    <row r="162" spans="1:7" x14ac:dyDescent="0.3">
      <c r="A162" t="s">
        <v>189</v>
      </c>
      <c r="B162">
        <v>23</v>
      </c>
      <c r="C162" t="s">
        <v>16</v>
      </c>
      <c r="D162" t="s">
        <v>18</v>
      </c>
      <c r="E162">
        <v>43.2</v>
      </c>
      <c r="F162">
        <v>10</v>
      </c>
      <c r="G162" s="14">
        <f>Stress_And_Productivity_1[[#This Row],[stress_level_0_10]]*10</f>
        <v>100</v>
      </c>
    </row>
    <row r="163" spans="1:7" x14ac:dyDescent="0.3">
      <c r="A163" t="s">
        <v>190</v>
      </c>
      <c r="B163">
        <v>37</v>
      </c>
      <c r="C163" t="s">
        <v>16</v>
      </c>
      <c r="D163" t="s">
        <v>18</v>
      </c>
      <c r="E163">
        <v>70.099999999999994</v>
      </c>
      <c r="F163">
        <v>5.0999999999999996</v>
      </c>
      <c r="G163" s="14">
        <f>Stress_And_Productivity_1[[#This Row],[stress_level_0_10]]*10</f>
        <v>51</v>
      </c>
    </row>
    <row r="164" spans="1:7" x14ac:dyDescent="0.3">
      <c r="A164" t="s">
        <v>191</v>
      </c>
      <c r="B164">
        <v>33</v>
      </c>
      <c r="C164" t="s">
        <v>16</v>
      </c>
      <c r="D164" t="s">
        <v>22</v>
      </c>
      <c r="E164">
        <v>42.6</v>
      </c>
      <c r="F164">
        <v>10</v>
      </c>
      <c r="G164" s="14">
        <f>Stress_And_Productivity_1[[#This Row],[stress_level_0_10]]*10</f>
        <v>100</v>
      </c>
    </row>
    <row r="165" spans="1:7" x14ac:dyDescent="0.3">
      <c r="A165" t="s">
        <v>192</v>
      </c>
      <c r="B165">
        <v>36</v>
      </c>
      <c r="C165" t="s">
        <v>16</v>
      </c>
      <c r="D165" t="s">
        <v>18</v>
      </c>
      <c r="E165">
        <v>73.2</v>
      </c>
      <c r="F165">
        <v>6.7</v>
      </c>
      <c r="G165" s="14">
        <f>Stress_And_Productivity_1[[#This Row],[stress_level_0_10]]*10</f>
        <v>67</v>
      </c>
    </row>
    <row r="166" spans="1:7" x14ac:dyDescent="0.3">
      <c r="A166" t="s">
        <v>193</v>
      </c>
      <c r="B166">
        <v>45</v>
      </c>
      <c r="C166" t="s">
        <v>16</v>
      </c>
      <c r="D166" t="s">
        <v>18</v>
      </c>
      <c r="E166">
        <v>49.6</v>
      </c>
      <c r="F166">
        <v>8.3000000000000007</v>
      </c>
      <c r="G166" s="14">
        <f>Stress_And_Productivity_1[[#This Row],[stress_level_0_10]]*10</f>
        <v>83</v>
      </c>
    </row>
    <row r="167" spans="1:7" x14ac:dyDescent="0.3">
      <c r="A167" t="s">
        <v>194</v>
      </c>
      <c r="B167">
        <v>28</v>
      </c>
      <c r="C167" t="s">
        <v>16</v>
      </c>
      <c r="D167" t="s">
        <v>22</v>
      </c>
      <c r="E167">
        <v>50.3</v>
      </c>
      <c r="F167">
        <v>6.9</v>
      </c>
      <c r="G167" s="14">
        <f>Stress_And_Productivity_1[[#This Row],[stress_level_0_10]]*10</f>
        <v>69</v>
      </c>
    </row>
    <row r="168" spans="1:7" x14ac:dyDescent="0.3">
      <c r="A168" t="s">
        <v>195</v>
      </c>
      <c r="B168">
        <v>23</v>
      </c>
      <c r="C168" t="s">
        <v>24</v>
      </c>
      <c r="D168" t="s">
        <v>22</v>
      </c>
      <c r="E168">
        <v>44.2</v>
      </c>
      <c r="F168">
        <v>10</v>
      </c>
      <c r="G168" s="14">
        <f>Stress_And_Productivity_1[[#This Row],[stress_level_0_10]]*10</f>
        <v>100</v>
      </c>
    </row>
    <row r="169" spans="1:7" x14ac:dyDescent="0.3">
      <c r="A169" t="s">
        <v>196</v>
      </c>
      <c r="B169">
        <v>22</v>
      </c>
      <c r="C169" t="s">
        <v>16</v>
      </c>
      <c r="D169" t="s">
        <v>22</v>
      </c>
      <c r="E169">
        <v>61.2</v>
      </c>
      <c r="F169">
        <v>8.6999999999999993</v>
      </c>
      <c r="G169" s="14">
        <f>Stress_And_Productivity_1[[#This Row],[stress_level_0_10]]*10</f>
        <v>87</v>
      </c>
    </row>
    <row r="170" spans="1:7" x14ac:dyDescent="0.3">
      <c r="A170" t="s">
        <v>197</v>
      </c>
      <c r="B170">
        <v>23</v>
      </c>
      <c r="C170" t="s">
        <v>24</v>
      </c>
      <c r="D170" t="s">
        <v>18</v>
      </c>
      <c r="E170">
        <v>57.9</v>
      </c>
      <c r="F170">
        <v>7.9</v>
      </c>
      <c r="G170" s="14">
        <f>Stress_And_Productivity_1[[#This Row],[stress_level_0_10]]*10</f>
        <v>79</v>
      </c>
    </row>
    <row r="171" spans="1:7" x14ac:dyDescent="0.3">
      <c r="A171" t="s">
        <v>198</v>
      </c>
      <c r="B171">
        <v>29</v>
      </c>
      <c r="C171" t="s">
        <v>16</v>
      </c>
      <c r="D171" t="s">
        <v>22</v>
      </c>
      <c r="E171">
        <v>35.5</v>
      </c>
      <c r="F171">
        <v>10</v>
      </c>
      <c r="G171" s="14">
        <f>Stress_And_Productivity_1[[#This Row],[stress_level_0_10]]*10</f>
        <v>100</v>
      </c>
    </row>
    <row r="172" spans="1:7" x14ac:dyDescent="0.3">
      <c r="A172" t="s">
        <v>199</v>
      </c>
      <c r="B172">
        <v>32</v>
      </c>
      <c r="C172" t="s">
        <v>16</v>
      </c>
      <c r="D172" t="s">
        <v>20</v>
      </c>
      <c r="E172">
        <v>57.4</v>
      </c>
      <c r="F172">
        <v>9.1</v>
      </c>
      <c r="G172" s="14">
        <f>Stress_And_Productivity_1[[#This Row],[stress_level_0_10]]*10</f>
        <v>91</v>
      </c>
    </row>
    <row r="173" spans="1:7" x14ac:dyDescent="0.3">
      <c r="A173" t="s">
        <v>200</v>
      </c>
      <c r="B173">
        <v>32</v>
      </c>
      <c r="C173" t="s">
        <v>24</v>
      </c>
      <c r="D173" t="s">
        <v>18</v>
      </c>
      <c r="E173">
        <v>39.299999999999997</v>
      </c>
      <c r="F173">
        <v>10</v>
      </c>
      <c r="G173" s="14">
        <f>Stress_And_Productivity_1[[#This Row],[stress_level_0_10]]*10</f>
        <v>100</v>
      </c>
    </row>
    <row r="174" spans="1:7" x14ac:dyDescent="0.3">
      <c r="A174" t="s">
        <v>201</v>
      </c>
      <c r="B174">
        <v>36</v>
      </c>
      <c r="C174" t="s">
        <v>16</v>
      </c>
      <c r="D174" t="s">
        <v>22</v>
      </c>
      <c r="E174">
        <v>79.099999999999994</v>
      </c>
      <c r="F174">
        <v>4.0999999999999996</v>
      </c>
      <c r="G174" s="14">
        <f>Stress_And_Productivity_1[[#This Row],[stress_level_0_10]]*10</f>
        <v>41</v>
      </c>
    </row>
    <row r="175" spans="1:7" x14ac:dyDescent="0.3">
      <c r="A175" t="s">
        <v>202</v>
      </c>
      <c r="B175">
        <v>30</v>
      </c>
      <c r="C175" t="s">
        <v>16</v>
      </c>
      <c r="D175" t="s">
        <v>18</v>
      </c>
      <c r="E175">
        <v>36.799999999999997</v>
      </c>
      <c r="F175">
        <v>10</v>
      </c>
      <c r="G175" s="14">
        <f>Stress_And_Productivity_1[[#This Row],[stress_level_0_10]]*10</f>
        <v>100</v>
      </c>
    </row>
    <row r="176" spans="1:7" x14ac:dyDescent="0.3">
      <c r="A176" t="s">
        <v>203</v>
      </c>
      <c r="B176">
        <v>41</v>
      </c>
      <c r="C176" t="s">
        <v>16</v>
      </c>
      <c r="D176" t="s">
        <v>18</v>
      </c>
      <c r="E176">
        <v>52.8</v>
      </c>
      <c r="F176">
        <v>8.3000000000000007</v>
      </c>
      <c r="G176" s="14">
        <f>Stress_And_Productivity_1[[#This Row],[stress_level_0_10]]*10</f>
        <v>83</v>
      </c>
    </row>
    <row r="177" spans="1:7" x14ac:dyDescent="0.3">
      <c r="A177" t="s">
        <v>204</v>
      </c>
      <c r="B177">
        <v>27</v>
      </c>
      <c r="C177" t="s">
        <v>16</v>
      </c>
      <c r="D177" t="s">
        <v>18</v>
      </c>
      <c r="E177">
        <v>62.4</v>
      </c>
      <c r="F177">
        <v>6.3</v>
      </c>
      <c r="G177" s="14">
        <f>Stress_And_Productivity_1[[#This Row],[stress_level_0_10]]*10</f>
        <v>63</v>
      </c>
    </row>
    <row r="178" spans="1:7" x14ac:dyDescent="0.3">
      <c r="A178" t="s">
        <v>205</v>
      </c>
      <c r="B178">
        <v>51</v>
      </c>
      <c r="C178" t="s">
        <v>28</v>
      </c>
      <c r="D178" t="s">
        <v>18</v>
      </c>
      <c r="E178">
        <v>24.6</v>
      </c>
      <c r="F178">
        <v>10</v>
      </c>
      <c r="G178" s="14">
        <f>Stress_And_Productivity_1[[#This Row],[stress_level_0_10]]*10</f>
        <v>100</v>
      </c>
    </row>
    <row r="179" spans="1:7" x14ac:dyDescent="0.3">
      <c r="A179" t="s">
        <v>206</v>
      </c>
      <c r="B179">
        <v>35</v>
      </c>
      <c r="C179" t="s">
        <v>16</v>
      </c>
      <c r="D179" t="s">
        <v>22</v>
      </c>
      <c r="E179">
        <v>75.599999999999994</v>
      </c>
      <c r="F179">
        <v>6.3</v>
      </c>
      <c r="G179" s="14">
        <f>Stress_And_Productivity_1[[#This Row],[stress_level_0_10]]*10</f>
        <v>63</v>
      </c>
    </row>
    <row r="180" spans="1:7" x14ac:dyDescent="0.3">
      <c r="A180" t="s">
        <v>207</v>
      </c>
      <c r="B180">
        <v>23</v>
      </c>
      <c r="C180" t="s">
        <v>24</v>
      </c>
      <c r="D180" t="s">
        <v>22</v>
      </c>
      <c r="E180">
        <v>51.3</v>
      </c>
      <c r="F180">
        <v>10</v>
      </c>
      <c r="G180" s="14">
        <f>Stress_And_Productivity_1[[#This Row],[stress_level_0_10]]*10</f>
        <v>100</v>
      </c>
    </row>
    <row r="181" spans="1:7" x14ac:dyDescent="0.3">
      <c r="A181" t="s">
        <v>208</v>
      </c>
      <c r="B181">
        <v>21</v>
      </c>
      <c r="C181" t="s">
        <v>16</v>
      </c>
      <c r="D181" t="s">
        <v>22</v>
      </c>
      <c r="E181">
        <v>53.9</v>
      </c>
      <c r="F181">
        <v>8</v>
      </c>
      <c r="G181" s="14">
        <f>Stress_And_Productivity_1[[#This Row],[stress_level_0_10]]*10</f>
        <v>80</v>
      </c>
    </row>
    <row r="182" spans="1:7" x14ac:dyDescent="0.3">
      <c r="A182" t="s">
        <v>209</v>
      </c>
      <c r="B182">
        <v>33</v>
      </c>
      <c r="C182" t="s">
        <v>24</v>
      </c>
      <c r="D182" t="s">
        <v>20</v>
      </c>
      <c r="E182">
        <v>79</v>
      </c>
      <c r="F182">
        <v>5.7</v>
      </c>
      <c r="G182" s="14">
        <f>Stress_And_Productivity_1[[#This Row],[stress_level_0_10]]*10</f>
        <v>57</v>
      </c>
    </row>
    <row r="183" spans="1:7" x14ac:dyDescent="0.3">
      <c r="A183" t="s">
        <v>210</v>
      </c>
      <c r="B183">
        <v>28</v>
      </c>
      <c r="C183" t="s">
        <v>24</v>
      </c>
      <c r="D183" t="s">
        <v>20</v>
      </c>
      <c r="E183">
        <v>59.1</v>
      </c>
      <c r="F183">
        <v>6.8</v>
      </c>
      <c r="G183" s="14">
        <f>Stress_And_Productivity_1[[#This Row],[stress_level_0_10]]*10</f>
        <v>68</v>
      </c>
    </row>
    <row r="184" spans="1:7" x14ac:dyDescent="0.3">
      <c r="A184" t="s">
        <v>211</v>
      </c>
      <c r="B184">
        <v>35</v>
      </c>
      <c r="C184" t="s">
        <v>24</v>
      </c>
      <c r="D184" t="s">
        <v>22</v>
      </c>
      <c r="E184">
        <v>43.7</v>
      </c>
      <c r="F184">
        <v>10</v>
      </c>
      <c r="G184" s="14">
        <f>Stress_And_Productivity_1[[#This Row],[stress_level_0_10]]*10</f>
        <v>100</v>
      </c>
    </row>
    <row r="185" spans="1:7" x14ac:dyDescent="0.3">
      <c r="A185" t="s">
        <v>212</v>
      </c>
      <c r="B185">
        <v>33</v>
      </c>
      <c r="C185" t="s">
        <v>16</v>
      </c>
      <c r="D185" t="s">
        <v>20</v>
      </c>
      <c r="E185">
        <v>28.1</v>
      </c>
      <c r="F185">
        <v>10</v>
      </c>
      <c r="G185" s="14">
        <f>Stress_And_Productivity_1[[#This Row],[stress_level_0_10]]*10</f>
        <v>100</v>
      </c>
    </row>
    <row r="186" spans="1:7" x14ac:dyDescent="0.3">
      <c r="A186" t="s">
        <v>213</v>
      </c>
      <c r="B186">
        <v>29</v>
      </c>
      <c r="C186" t="s">
        <v>16</v>
      </c>
      <c r="D186" t="s">
        <v>18</v>
      </c>
      <c r="E186">
        <v>66.8</v>
      </c>
      <c r="F186">
        <v>7.4</v>
      </c>
      <c r="G186" s="14">
        <f>Stress_And_Productivity_1[[#This Row],[stress_level_0_10]]*10</f>
        <v>74</v>
      </c>
    </row>
    <row r="187" spans="1:7" x14ac:dyDescent="0.3">
      <c r="A187" t="s">
        <v>214</v>
      </c>
      <c r="B187">
        <v>23</v>
      </c>
      <c r="C187" t="s">
        <v>16</v>
      </c>
      <c r="D187" t="s">
        <v>18</v>
      </c>
      <c r="E187">
        <v>48.6</v>
      </c>
      <c r="F187">
        <v>10</v>
      </c>
      <c r="G187" s="14">
        <f>Stress_And_Productivity_1[[#This Row],[stress_level_0_10]]*10</f>
        <v>100</v>
      </c>
    </row>
    <row r="188" spans="1:7" x14ac:dyDescent="0.3">
      <c r="A188" t="s">
        <v>215</v>
      </c>
      <c r="B188">
        <v>17</v>
      </c>
      <c r="C188" t="s">
        <v>24</v>
      </c>
      <c r="D188" t="s">
        <v>18</v>
      </c>
      <c r="E188">
        <v>36</v>
      </c>
      <c r="F188">
        <v>10</v>
      </c>
      <c r="G188" s="14">
        <f>Stress_And_Productivity_1[[#This Row],[stress_level_0_10]]*10</f>
        <v>100</v>
      </c>
    </row>
    <row r="189" spans="1:7" x14ac:dyDescent="0.3">
      <c r="A189" t="s">
        <v>216</v>
      </c>
      <c r="B189">
        <v>26</v>
      </c>
      <c r="C189" t="s">
        <v>24</v>
      </c>
      <c r="D189" t="s">
        <v>22</v>
      </c>
      <c r="E189">
        <v>30.9</v>
      </c>
      <c r="F189">
        <v>10</v>
      </c>
      <c r="G189" s="14">
        <f>Stress_And_Productivity_1[[#This Row],[stress_level_0_10]]*10</f>
        <v>100</v>
      </c>
    </row>
    <row r="190" spans="1:7" x14ac:dyDescent="0.3">
      <c r="A190" t="s">
        <v>217</v>
      </c>
      <c r="B190">
        <v>36</v>
      </c>
      <c r="C190" t="s">
        <v>24</v>
      </c>
      <c r="D190" t="s">
        <v>20</v>
      </c>
      <c r="E190">
        <v>69.599999999999994</v>
      </c>
      <c r="F190">
        <v>6.4</v>
      </c>
      <c r="G190" s="14">
        <f>Stress_And_Productivity_1[[#This Row],[stress_level_0_10]]*10</f>
        <v>64</v>
      </c>
    </row>
    <row r="191" spans="1:7" x14ac:dyDescent="0.3">
      <c r="A191" t="s">
        <v>218</v>
      </c>
      <c r="B191">
        <v>31</v>
      </c>
      <c r="C191" t="s">
        <v>16</v>
      </c>
      <c r="D191" t="s">
        <v>18</v>
      </c>
      <c r="E191">
        <v>41.9</v>
      </c>
      <c r="F191">
        <v>9.1</v>
      </c>
      <c r="G191" s="14">
        <f>Stress_And_Productivity_1[[#This Row],[stress_level_0_10]]*10</f>
        <v>91</v>
      </c>
    </row>
    <row r="192" spans="1:7" x14ac:dyDescent="0.3">
      <c r="A192" t="s">
        <v>219</v>
      </c>
      <c r="B192">
        <v>20</v>
      </c>
      <c r="C192" t="s">
        <v>24</v>
      </c>
      <c r="D192" t="s">
        <v>20</v>
      </c>
      <c r="E192">
        <v>45.1</v>
      </c>
      <c r="F192">
        <v>10</v>
      </c>
      <c r="G192" s="14">
        <f>Stress_And_Productivity_1[[#This Row],[stress_level_0_10]]*10</f>
        <v>100</v>
      </c>
    </row>
    <row r="193" spans="1:7" x14ac:dyDescent="0.3">
      <c r="A193" t="s">
        <v>220</v>
      </c>
      <c r="B193">
        <v>31</v>
      </c>
      <c r="C193" t="s">
        <v>24</v>
      </c>
      <c r="D193" t="s">
        <v>18</v>
      </c>
      <c r="E193">
        <v>50.2</v>
      </c>
      <c r="F193">
        <v>10</v>
      </c>
      <c r="G193" s="14">
        <f>Stress_And_Productivity_1[[#This Row],[stress_level_0_10]]*10</f>
        <v>100</v>
      </c>
    </row>
    <row r="194" spans="1:7" x14ac:dyDescent="0.3">
      <c r="A194" t="s">
        <v>221</v>
      </c>
      <c r="B194">
        <v>33</v>
      </c>
      <c r="C194" t="s">
        <v>16</v>
      </c>
      <c r="D194" t="s">
        <v>20</v>
      </c>
      <c r="E194">
        <v>54</v>
      </c>
      <c r="F194">
        <v>7.4</v>
      </c>
      <c r="G194" s="14">
        <f>Stress_And_Productivity_1[[#This Row],[stress_level_0_10]]*10</f>
        <v>74</v>
      </c>
    </row>
    <row r="195" spans="1:7" x14ac:dyDescent="0.3">
      <c r="A195" t="s">
        <v>222</v>
      </c>
      <c r="B195">
        <v>22</v>
      </c>
      <c r="C195" t="s">
        <v>16</v>
      </c>
      <c r="D195" t="s">
        <v>18</v>
      </c>
      <c r="E195">
        <v>48.3</v>
      </c>
      <c r="F195">
        <v>10</v>
      </c>
      <c r="G195" s="14">
        <f>Stress_And_Productivity_1[[#This Row],[stress_level_0_10]]*10</f>
        <v>100</v>
      </c>
    </row>
    <row r="196" spans="1:7" x14ac:dyDescent="0.3">
      <c r="A196" t="s">
        <v>223</v>
      </c>
      <c r="B196">
        <v>31</v>
      </c>
      <c r="C196" t="s">
        <v>24</v>
      </c>
      <c r="D196" t="s">
        <v>18</v>
      </c>
      <c r="E196">
        <v>62.7</v>
      </c>
      <c r="F196">
        <v>7</v>
      </c>
      <c r="G196" s="14">
        <f>Stress_And_Productivity_1[[#This Row],[stress_level_0_10]]*10</f>
        <v>70</v>
      </c>
    </row>
    <row r="197" spans="1:7" x14ac:dyDescent="0.3">
      <c r="A197" t="s">
        <v>224</v>
      </c>
      <c r="B197">
        <v>30</v>
      </c>
      <c r="C197" t="s">
        <v>24</v>
      </c>
      <c r="D197" t="s">
        <v>22</v>
      </c>
      <c r="E197">
        <v>46.4</v>
      </c>
      <c r="F197">
        <v>10</v>
      </c>
      <c r="G197" s="14">
        <f>Stress_And_Productivity_1[[#This Row],[stress_level_0_10]]*10</f>
        <v>100</v>
      </c>
    </row>
    <row r="198" spans="1:7" x14ac:dyDescent="0.3">
      <c r="A198" t="s">
        <v>225</v>
      </c>
      <c r="B198">
        <v>20</v>
      </c>
      <c r="C198" t="s">
        <v>24</v>
      </c>
      <c r="D198" t="s">
        <v>22</v>
      </c>
      <c r="E198">
        <v>44.7</v>
      </c>
      <c r="F198">
        <v>10</v>
      </c>
      <c r="G198" s="14">
        <f>Stress_And_Productivity_1[[#This Row],[stress_level_0_10]]*10</f>
        <v>100</v>
      </c>
    </row>
    <row r="199" spans="1:7" x14ac:dyDescent="0.3">
      <c r="A199" t="s">
        <v>226</v>
      </c>
      <c r="B199">
        <v>32</v>
      </c>
      <c r="C199" t="s">
        <v>16</v>
      </c>
      <c r="D199" t="s">
        <v>18</v>
      </c>
      <c r="E199">
        <v>31.8</v>
      </c>
      <c r="F199">
        <v>10</v>
      </c>
      <c r="G199" s="14">
        <f>Stress_And_Productivity_1[[#This Row],[stress_level_0_10]]*10</f>
        <v>100</v>
      </c>
    </row>
    <row r="200" spans="1:7" x14ac:dyDescent="0.3">
      <c r="A200" t="s">
        <v>227</v>
      </c>
      <c r="B200">
        <v>34</v>
      </c>
      <c r="C200" t="s">
        <v>24</v>
      </c>
      <c r="D200" t="s">
        <v>22</v>
      </c>
      <c r="E200">
        <v>66.7</v>
      </c>
      <c r="F200">
        <v>8.5</v>
      </c>
      <c r="G200" s="14">
        <f>Stress_And_Productivity_1[[#This Row],[stress_level_0_10]]*10</f>
        <v>85</v>
      </c>
    </row>
    <row r="201" spans="1:7" x14ac:dyDescent="0.3">
      <c r="A201" t="s">
        <v>228</v>
      </c>
      <c r="B201">
        <v>38</v>
      </c>
      <c r="C201" t="s">
        <v>16</v>
      </c>
      <c r="D201" t="s">
        <v>20</v>
      </c>
      <c r="E201">
        <v>57</v>
      </c>
      <c r="F201">
        <v>6.6</v>
      </c>
      <c r="G201" s="14">
        <f>Stress_And_Productivity_1[[#This Row],[stress_level_0_10]]*10</f>
        <v>66</v>
      </c>
    </row>
    <row r="202" spans="1:7" x14ac:dyDescent="0.3">
      <c r="A202" t="s">
        <v>229</v>
      </c>
      <c r="B202">
        <v>38</v>
      </c>
      <c r="C202" t="s">
        <v>16</v>
      </c>
      <c r="D202" t="s">
        <v>22</v>
      </c>
      <c r="E202">
        <v>52.5</v>
      </c>
      <c r="F202">
        <v>6.4</v>
      </c>
      <c r="G202" s="14">
        <f>Stress_And_Productivity_1[[#This Row],[stress_level_0_10]]*10</f>
        <v>64</v>
      </c>
    </row>
    <row r="203" spans="1:7" x14ac:dyDescent="0.3">
      <c r="A203" t="s">
        <v>230</v>
      </c>
      <c r="B203">
        <v>18</v>
      </c>
      <c r="C203" t="s">
        <v>16</v>
      </c>
      <c r="D203" t="s">
        <v>22</v>
      </c>
      <c r="E203">
        <v>50.1</v>
      </c>
      <c r="F203">
        <v>10</v>
      </c>
      <c r="G203" s="14">
        <f>Stress_And_Productivity_1[[#This Row],[stress_level_0_10]]*10</f>
        <v>100</v>
      </c>
    </row>
    <row r="204" spans="1:7" x14ac:dyDescent="0.3">
      <c r="A204" t="s">
        <v>231</v>
      </c>
      <c r="B204">
        <v>22</v>
      </c>
      <c r="C204" t="s">
        <v>24</v>
      </c>
      <c r="D204" t="s">
        <v>22</v>
      </c>
      <c r="E204">
        <v>59.9</v>
      </c>
      <c r="F204">
        <v>9.4</v>
      </c>
      <c r="G204" s="14">
        <f>Stress_And_Productivity_1[[#This Row],[stress_level_0_10]]*10</f>
        <v>94</v>
      </c>
    </row>
    <row r="205" spans="1:7" x14ac:dyDescent="0.3">
      <c r="A205" t="s">
        <v>232</v>
      </c>
      <c r="B205">
        <v>34</v>
      </c>
      <c r="C205" t="s">
        <v>24</v>
      </c>
      <c r="D205" t="s">
        <v>22</v>
      </c>
      <c r="E205">
        <v>47.6</v>
      </c>
      <c r="F205">
        <v>9.8000000000000007</v>
      </c>
      <c r="G205" s="14">
        <f>Stress_And_Productivity_1[[#This Row],[stress_level_0_10]]*10</f>
        <v>98</v>
      </c>
    </row>
    <row r="206" spans="1:7" x14ac:dyDescent="0.3">
      <c r="A206" t="s">
        <v>233</v>
      </c>
      <c r="B206">
        <v>34</v>
      </c>
      <c r="C206" t="s">
        <v>24</v>
      </c>
      <c r="D206" t="s">
        <v>18</v>
      </c>
      <c r="E206">
        <v>54.6</v>
      </c>
      <c r="F206">
        <v>10</v>
      </c>
      <c r="G206" s="14">
        <f>Stress_And_Productivity_1[[#This Row],[stress_level_0_10]]*10</f>
        <v>100</v>
      </c>
    </row>
    <row r="207" spans="1:7" x14ac:dyDescent="0.3">
      <c r="A207" t="s">
        <v>234</v>
      </c>
      <c r="B207">
        <v>34</v>
      </c>
      <c r="C207" t="s">
        <v>16</v>
      </c>
      <c r="D207" t="s">
        <v>22</v>
      </c>
      <c r="E207">
        <v>43.4</v>
      </c>
      <c r="F207">
        <v>9.6</v>
      </c>
      <c r="G207" s="14">
        <f>Stress_And_Productivity_1[[#This Row],[stress_level_0_10]]*10</f>
        <v>96</v>
      </c>
    </row>
    <row r="208" spans="1:7" x14ac:dyDescent="0.3">
      <c r="A208" t="s">
        <v>235</v>
      </c>
      <c r="B208">
        <v>60</v>
      </c>
      <c r="C208" t="s">
        <v>24</v>
      </c>
      <c r="D208" t="s">
        <v>18</v>
      </c>
      <c r="E208">
        <v>36.9</v>
      </c>
      <c r="F208">
        <v>10</v>
      </c>
      <c r="G208" s="14">
        <f>Stress_And_Productivity_1[[#This Row],[stress_level_0_10]]*10</f>
        <v>100</v>
      </c>
    </row>
    <row r="209" spans="1:7" x14ac:dyDescent="0.3">
      <c r="A209" t="s">
        <v>236</v>
      </c>
      <c r="B209">
        <v>34</v>
      </c>
      <c r="C209" t="s">
        <v>16</v>
      </c>
      <c r="D209" t="s">
        <v>18</v>
      </c>
      <c r="E209">
        <v>39.1</v>
      </c>
      <c r="F209">
        <v>9.3000000000000007</v>
      </c>
      <c r="G209" s="14">
        <f>Stress_And_Productivity_1[[#This Row],[stress_level_0_10]]*10</f>
        <v>93</v>
      </c>
    </row>
    <row r="210" spans="1:7" x14ac:dyDescent="0.3">
      <c r="A210" t="s">
        <v>237</v>
      </c>
      <c r="B210">
        <v>39</v>
      </c>
      <c r="C210" t="s">
        <v>24</v>
      </c>
      <c r="D210" t="s">
        <v>22</v>
      </c>
      <c r="E210">
        <v>54.3</v>
      </c>
      <c r="F210">
        <v>9.1999999999999993</v>
      </c>
      <c r="G210" s="14">
        <f>Stress_And_Productivity_1[[#This Row],[stress_level_0_10]]*10</f>
        <v>92</v>
      </c>
    </row>
    <row r="211" spans="1:7" x14ac:dyDescent="0.3">
      <c r="A211" t="s">
        <v>238</v>
      </c>
      <c r="B211">
        <v>37</v>
      </c>
      <c r="C211" t="s">
        <v>16</v>
      </c>
      <c r="D211" t="s">
        <v>18</v>
      </c>
      <c r="E211">
        <v>65.400000000000006</v>
      </c>
      <c r="F211">
        <v>6.5</v>
      </c>
      <c r="G211" s="14">
        <f>Stress_And_Productivity_1[[#This Row],[stress_level_0_10]]*10</f>
        <v>65</v>
      </c>
    </row>
    <row r="212" spans="1:7" x14ac:dyDescent="0.3">
      <c r="A212" t="s">
        <v>239</v>
      </c>
      <c r="B212">
        <v>35</v>
      </c>
      <c r="C212" t="s">
        <v>16</v>
      </c>
      <c r="D212" t="s">
        <v>22</v>
      </c>
      <c r="E212">
        <v>54.6</v>
      </c>
      <c r="F212">
        <v>9.1999999999999993</v>
      </c>
      <c r="G212" s="14">
        <f>Stress_And_Productivity_1[[#This Row],[stress_level_0_10]]*10</f>
        <v>92</v>
      </c>
    </row>
    <row r="213" spans="1:7" x14ac:dyDescent="0.3">
      <c r="A213" t="s">
        <v>240</v>
      </c>
      <c r="B213">
        <v>27</v>
      </c>
      <c r="C213" t="s">
        <v>16</v>
      </c>
      <c r="D213" t="s">
        <v>22</v>
      </c>
      <c r="E213">
        <v>40.6</v>
      </c>
      <c r="F213">
        <v>10</v>
      </c>
      <c r="G213" s="14">
        <f>Stress_And_Productivity_1[[#This Row],[stress_level_0_10]]*10</f>
        <v>100</v>
      </c>
    </row>
    <row r="214" spans="1:7" x14ac:dyDescent="0.3">
      <c r="A214" t="s">
        <v>241</v>
      </c>
      <c r="B214">
        <v>36</v>
      </c>
      <c r="C214" t="s">
        <v>16</v>
      </c>
      <c r="D214" t="s">
        <v>18</v>
      </c>
      <c r="E214">
        <v>45.4</v>
      </c>
      <c r="F214">
        <v>8.3000000000000007</v>
      </c>
      <c r="G214" s="14">
        <f>Stress_And_Productivity_1[[#This Row],[stress_level_0_10]]*10</f>
        <v>83</v>
      </c>
    </row>
    <row r="215" spans="1:7" x14ac:dyDescent="0.3">
      <c r="A215" t="s">
        <v>243</v>
      </c>
      <c r="B215">
        <v>28</v>
      </c>
      <c r="C215" t="s">
        <v>16</v>
      </c>
      <c r="D215" t="s">
        <v>22</v>
      </c>
      <c r="E215">
        <v>32.6</v>
      </c>
      <c r="F215">
        <v>10</v>
      </c>
      <c r="G215" s="14">
        <f>Stress_And_Productivity_1[[#This Row],[stress_level_0_10]]*10</f>
        <v>100</v>
      </c>
    </row>
    <row r="216" spans="1:7" x14ac:dyDescent="0.3">
      <c r="A216" t="s">
        <v>244</v>
      </c>
      <c r="B216">
        <v>26</v>
      </c>
      <c r="C216" t="s">
        <v>16</v>
      </c>
      <c r="D216" t="s">
        <v>20</v>
      </c>
      <c r="E216">
        <v>38.1</v>
      </c>
      <c r="F216">
        <v>10</v>
      </c>
      <c r="G216" s="14">
        <f>Stress_And_Productivity_1[[#This Row],[stress_level_0_10]]*10</f>
        <v>100</v>
      </c>
    </row>
    <row r="217" spans="1:7" x14ac:dyDescent="0.3">
      <c r="A217" t="s">
        <v>245</v>
      </c>
      <c r="B217">
        <v>30</v>
      </c>
      <c r="C217" t="s">
        <v>24</v>
      </c>
      <c r="D217" t="s">
        <v>22</v>
      </c>
      <c r="E217">
        <v>57.5</v>
      </c>
      <c r="F217">
        <v>8.4</v>
      </c>
      <c r="G217" s="14">
        <f>Stress_And_Productivity_1[[#This Row],[stress_level_0_10]]*10</f>
        <v>84</v>
      </c>
    </row>
    <row r="218" spans="1:7" x14ac:dyDescent="0.3">
      <c r="A218" t="s">
        <v>246</v>
      </c>
      <c r="B218">
        <v>48</v>
      </c>
      <c r="C218" t="s">
        <v>16</v>
      </c>
      <c r="D218" t="s">
        <v>20</v>
      </c>
      <c r="E218">
        <v>70.8</v>
      </c>
      <c r="F218">
        <v>6.4</v>
      </c>
      <c r="G218" s="14">
        <f>Stress_And_Productivity_1[[#This Row],[stress_level_0_10]]*10</f>
        <v>64</v>
      </c>
    </row>
    <row r="219" spans="1:7" x14ac:dyDescent="0.3">
      <c r="A219" t="s">
        <v>247</v>
      </c>
      <c r="B219">
        <v>16</v>
      </c>
      <c r="C219" t="s">
        <v>24</v>
      </c>
      <c r="D219" t="s">
        <v>22</v>
      </c>
      <c r="E219">
        <v>46.8</v>
      </c>
      <c r="F219">
        <v>10</v>
      </c>
      <c r="G219" s="14">
        <f>Stress_And_Productivity_1[[#This Row],[stress_level_0_10]]*10</f>
        <v>100</v>
      </c>
    </row>
    <row r="220" spans="1:7" x14ac:dyDescent="0.3">
      <c r="A220" t="s">
        <v>248</v>
      </c>
      <c r="B220">
        <v>35</v>
      </c>
      <c r="C220" t="s">
        <v>24</v>
      </c>
      <c r="D220" t="s">
        <v>18</v>
      </c>
      <c r="E220">
        <v>64.2</v>
      </c>
      <c r="F220">
        <v>5.4</v>
      </c>
      <c r="G220" s="14">
        <f>Stress_And_Productivity_1[[#This Row],[stress_level_0_10]]*10</f>
        <v>54</v>
      </c>
    </row>
    <row r="221" spans="1:7" x14ac:dyDescent="0.3">
      <c r="A221" t="s">
        <v>249</v>
      </c>
      <c r="B221">
        <v>17</v>
      </c>
      <c r="C221" t="s">
        <v>24</v>
      </c>
      <c r="D221" t="s">
        <v>22</v>
      </c>
      <c r="E221">
        <v>46.6</v>
      </c>
      <c r="F221">
        <v>10</v>
      </c>
      <c r="G221" s="14">
        <f>Stress_And_Productivity_1[[#This Row],[stress_level_0_10]]*10</f>
        <v>100</v>
      </c>
    </row>
    <row r="222" spans="1:7" x14ac:dyDescent="0.3">
      <c r="A222" t="s">
        <v>250</v>
      </c>
      <c r="B222">
        <v>26</v>
      </c>
      <c r="C222" t="s">
        <v>16</v>
      </c>
      <c r="D222" t="s">
        <v>20</v>
      </c>
      <c r="E222">
        <v>56.6</v>
      </c>
      <c r="F222">
        <v>7.4</v>
      </c>
      <c r="G222" s="14">
        <f>Stress_And_Productivity_1[[#This Row],[stress_level_0_10]]*10</f>
        <v>74</v>
      </c>
    </row>
    <row r="223" spans="1:7" x14ac:dyDescent="0.3">
      <c r="A223" t="s">
        <v>251</v>
      </c>
      <c r="B223">
        <v>38</v>
      </c>
      <c r="C223" t="s">
        <v>24</v>
      </c>
      <c r="D223" t="s">
        <v>22</v>
      </c>
      <c r="E223">
        <v>56.3</v>
      </c>
      <c r="F223">
        <v>7.4</v>
      </c>
      <c r="G223" s="14">
        <f>Stress_And_Productivity_1[[#This Row],[stress_level_0_10]]*10</f>
        <v>74</v>
      </c>
    </row>
    <row r="224" spans="1:7" x14ac:dyDescent="0.3">
      <c r="A224" t="s">
        <v>252</v>
      </c>
      <c r="B224">
        <v>30</v>
      </c>
      <c r="C224" t="s">
        <v>24</v>
      </c>
      <c r="D224" t="s">
        <v>20</v>
      </c>
      <c r="E224">
        <v>72.900000000000006</v>
      </c>
      <c r="F224">
        <v>3.5</v>
      </c>
      <c r="G224" s="14">
        <f>Stress_And_Productivity_1[[#This Row],[stress_level_0_10]]*10</f>
        <v>35</v>
      </c>
    </row>
    <row r="225" spans="1:7" x14ac:dyDescent="0.3">
      <c r="A225" t="s">
        <v>253</v>
      </c>
      <c r="B225">
        <v>21</v>
      </c>
      <c r="C225" t="s">
        <v>16</v>
      </c>
      <c r="D225" t="s">
        <v>20</v>
      </c>
      <c r="E225">
        <v>56.6</v>
      </c>
      <c r="F225">
        <v>8.4</v>
      </c>
      <c r="G225" s="14">
        <f>Stress_And_Productivity_1[[#This Row],[stress_level_0_10]]*10</f>
        <v>84</v>
      </c>
    </row>
    <row r="226" spans="1:7" x14ac:dyDescent="0.3">
      <c r="A226" t="s">
        <v>254</v>
      </c>
      <c r="B226">
        <v>24</v>
      </c>
      <c r="C226" t="s">
        <v>16</v>
      </c>
      <c r="D226" t="s">
        <v>18</v>
      </c>
      <c r="E226">
        <v>49</v>
      </c>
      <c r="F226">
        <v>8.8000000000000007</v>
      </c>
      <c r="G226" s="14">
        <f>Stress_And_Productivity_1[[#This Row],[stress_level_0_10]]*10</f>
        <v>88</v>
      </c>
    </row>
    <row r="227" spans="1:7" x14ac:dyDescent="0.3">
      <c r="A227" t="s">
        <v>255</v>
      </c>
      <c r="B227">
        <v>35</v>
      </c>
      <c r="C227" t="s">
        <v>24</v>
      </c>
      <c r="D227" t="s">
        <v>18</v>
      </c>
      <c r="E227">
        <v>32.700000000000003</v>
      </c>
      <c r="F227">
        <v>9.3000000000000007</v>
      </c>
      <c r="G227" s="14">
        <f>Stress_And_Productivity_1[[#This Row],[stress_level_0_10]]*10</f>
        <v>93</v>
      </c>
    </row>
    <row r="228" spans="1:7" x14ac:dyDescent="0.3">
      <c r="A228" t="s">
        <v>256</v>
      </c>
      <c r="B228">
        <v>24</v>
      </c>
      <c r="C228" t="s">
        <v>24</v>
      </c>
      <c r="D228" t="s">
        <v>22</v>
      </c>
      <c r="E228">
        <v>36.5</v>
      </c>
      <c r="F228">
        <v>10</v>
      </c>
      <c r="G228" s="14">
        <f>Stress_And_Productivity_1[[#This Row],[stress_level_0_10]]*10</f>
        <v>100</v>
      </c>
    </row>
    <row r="229" spans="1:7" x14ac:dyDescent="0.3">
      <c r="A229" t="s">
        <v>257</v>
      </c>
      <c r="B229">
        <v>31</v>
      </c>
      <c r="C229" t="s">
        <v>24</v>
      </c>
      <c r="D229" t="s">
        <v>22</v>
      </c>
      <c r="E229">
        <v>58.5</v>
      </c>
      <c r="F229">
        <v>7.8</v>
      </c>
      <c r="G229" s="14">
        <f>Stress_And_Productivity_1[[#This Row],[stress_level_0_10]]*10</f>
        <v>78</v>
      </c>
    </row>
    <row r="230" spans="1:7" x14ac:dyDescent="0.3">
      <c r="A230" t="s">
        <v>258</v>
      </c>
      <c r="B230">
        <v>30</v>
      </c>
      <c r="C230" t="s">
        <v>24</v>
      </c>
      <c r="D230" t="s">
        <v>20</v>
      </c>
      <c r="E230">
        <v>60.7</v>
      </c>
      <c r="F230">
        <v>6.9</v>
      </c>
      <c r="G230" s="14">
        <f>Stress_And_Productivity_1[[#This Row],[stress_level_0_10]]*10</f>
        <v>69</v>
      </c>
    </row>
    <row r="231" spans="1:7" x14ac:dyDescent="0.3">
      <c r="A231" t="s">
        <v>259</v>
      </c>
      <c r="B231">
        <v>24</v>
      </c>
      <c r="C231" t="s">
        <v>24</v>
      </c>
      <c r="D231" t="s">
        <v>20</v>
      </c>
      <c r="E231">
        <v>58.8</v>
      </c>
      <c r="F231">
        <v>9.9</v>
      </c>
      <c r="G231" s="14">
        <f>Stress_And_Productivity_1[[#This Row],[stress_level_0_10]]*10</f>
        <v>99</v>
      </c>
    </row>
    <row r="232" spans="1:7" x14ac:dyDescent="0.3">
      <c r="A232" t="s">
        <v>260</v>
      </c>
      <c r="B232">
        <v>47</v>
      </c>
      <c r="C232" t="s">
        <v>16</v>
      </c>
      <c r="D232" t="s">
        <v>18</v>
      </c>
      <c r="E232">
        <v>44.1</v>
      </c>
      <c r="F232">
        <v>10</v>
      </c>
      <c r="G232" s="14">
        <f>Stress_And_Productivity_1[[#This Row],[stress_level_0_10]]*10</f>
        <v>100</v>
      </c>
    </row>
    <row r="233" spans="1:7" x14ac:dyDescent="0.3">
      <c r="A233" t="s">
        <v>261</v>
      </c>
      <c r="B233">
        <v>35</v>
      </c>
      <c r="C233" t="s">
        <v>16</v>
      </c>
      <c r="D233" t="s">
        <v>18</v>
      </c>
      <c r="E233">
        <v>42.1</v>
      </c>
      <c r="F233">
        <v>8.9</v>
      </c>
      <c r="G233" s="14">
        <f>Stress_And_Productivity_1[[#This Row],[stress_level_0_10]]*10</f>
        <v>89</v>
      </c>
    </row>
    <row r="234" spans="1:7" x14ac:dyDescent="0.3">
      <c r="A234" t="s">
        <v>262</v>
      </c>
      <c r="B234">
        <v>16</v>
      </c>
      <c r="C234" t="s">
        <v>16</v>
      </c>
      <c r="D234" t="s">
        <v>20</v>
      </c>
      <c r="E234">
        <v>55.5</v>
      </c>
      <c r="F234">
        <v>7.6</v>
      </c>
      <c r="G234" s="14">
        <f>Stress_And_Productivity_1[[#This Row],[stress_level_0_10]]*10</f>
        <v>76</v>
      </c>
    </row>
    <row r="235" spans="1:7" x14ac:dyDescent="0.3">
      <c r="A235" t="s">
        <v>263</v>
      </c>
      <c r="B235">
        <v>31</v>
      </c>
      <c r="C235" t="s">
        <v>24</v>
      </c>
      <c r="D235" t="s">
        <v>22</v>
      </c>
      <c r="E235">
        <v>46.3</v>
      </c>
      <c r="F235">
        <v>10</v>
      </c>
      <c r="G235" s="14">
        <f>Stress_And_Productivity_1[[#This Row],[stress_level_0_10]]*10</f>
        <v>100</v>
      </c>
    </row>
    <row r="236" spans="1:7" x14ac:dyDescent="0.3">
      <c r="A236" t="s">
        <v>264</v>
      </c>
      <c r="B236">
        <v>24</v>
      </c>
      <c r="C236" t="s">
        <v>16</v>
      </c>
      <c r="D236" t="s">
        <v>20</v>
      </c>
      <c r="E236">
        <v>48.5</v>
      </c>
      <c r="F236">
        <v>9.6</v>
      </c>
      <c r="G236" s="14">
        <f>Stress_And_Productivity_1[[#This Row],[stress_level_0_10]]*10</f>
        <v>96</v>
      </c>
    </row>
    <row r="237" spans="1:7" x14ac:dyDescent="0.3">
      <c r="A237" t="s">
        <v>265</v>
      </c>
      <c r="B237">
        <v>36</v>
      </c>
      <c r="C237" t="s">
        <v>24</v>
      </c>
      <c r="D237" t="s">
        <v>22</v>
      </c>
      <c r="E237">
        <v>49.9</v>
      </c>
      <c r="F237">
        <v>9.5</v>
      </c>
      <c r="G237" s="14">
        <f>Stress_And_Productivity_1[[#This Row],[stress_level_0_10]]*10</f>
        <v>95</v>
      </c>
    </row>
    <row r="238" spans="1:7" x14ac:dyDescent="0.3">
      <c r="A238" t="s">
        <v>266</v>
      </c>
      <c r="B238">
        <v>23</v>
      </c>
      <c r="C238" t="s">
        <v>24</v>
      </c>
      <c r="D238" t="s">
        <v>22</v>
      </c>
      <c r="E238">
        <v>69.099999999999994</v>
      </c>
      <c r="F238">
        <v>6.4</v>
      </c>
      <c r="G238" s="14">
        <f>Stress_And_Productivity_1[[#This Row],[stress_level_0_10]]*10</f>
        <v>64</v>
      </c>
    </row>
    <row r="239" spans="1:7" x14ac:dyDescent="0.3">
      <c r="A239" t="s">
        <v>267</v>
      </c>
      <c r="B239">
        <v>29</v>
      </c>
      <c r="C239" t="s">
        <v>24</v>
      </c>
      <c r="D239" t="s">
        <v>18</v>
      </c>
      <c r="E239">
        <v>60.6</v>
      </c>
      <c r="F239">
        <v>7.9</v>
      </c>
      <c r="G239" s="14">
        <f>Stress_And_Productivity_1[[#This Row],[stress_level_0_10]]*10</f>
        <v>79</v>
      </c>
    </row>
    <row r="240" spans="1:7" x14ac:dyDescent="0.3">
      <c r="A240" t="s">
        <v>268</v>
      </c>
      <c r="B240">
        <v>34</v>
      </c>
      <c r="C240" t="s">
        <v>16</v>
      </c>
      <c r="D240" t="s">
        <v>22</v>
      </c>
      <c r="E240">
        <v>82.7</v>
      </c>
      <c r="F240">
        <v>5.2</v>
      </c>
      <c r="G240" s="14">
        <f>Stress_And_Productivity_1[[#This Row],[stress_level_0_10]]*10</f>
        <v>52</v>
      </c>
    </row>
    <row r="241" spans="1:7" x14ac:dyDescent="0.3">
      <c r="A241" t="s">
        <v>269</v>
      </c>
      <c r="B241">
        <v>36</v>
      </c>
      <c r="C241" t="s">
        <v>24</v>
      </c>
      <c r="D241" t="s">
        <v>22</v>
      </c>
      <c r="E241">
        <v>47.9</v>
      </c>
      <c r="F241">
        <v>10</v>
      </c>
      <c r="G241" s="14">
        <f>Stress_And_Productivity_1[[#This Row],[stress_level_0_10]]*10</f>
        <v>100</v>
      </c>
    </row>
    <row r="242" spans="1:7" x14ac:dyDescent="0.3">
      <c r="A242" t="s">
        <v>270</v>
      </c>
      <c r="B242">
        <v>20</v>
      </c>
      <c r="C242" t="s">
        <v>16</v>
      </c>
      <c r="D242" t="s">
        <v>22</v>
      </c>
      <c r="E242">
        <v>38.6</v>
      </c>
      <c r="F242">
        <v>10</v>
      </c>
      <c r="G242" s="14">
        <f>Stress_And_Productivity_1[[#This Row],[stress_level_0_10]]*10</f>
        <v>100</v>
      </c>
    </row>
    <row r="243" spans="1:7" x14ac:dyDescent="0.3">
      <c r="A243" t="s">
        <v>271</v>
      </c>
      <c r="B243">
        <v>27</v>
      </c>
      <c r="C243" t="s">
        <v>24</v>
      </c>
      <c r="D243" t="s">
        <v>18</v>
      </c>
      <c r="E243">
        <v>76.900000000000006</v>
      </c>
      <c r="F243">
        <v>6.8</v>
      </c>
      <c r="G243" s="14">
        <f>Stress_And_Productivity_1[[#This Row],[stress_level_0_10]]*10</f>
        <v>68</v>
      </c>
    </row>
    <row r="244" spans="1:7" x14ac:dyDescent="0.3">
      <c r="A244" t="s">
        <v>272</v>
      </c>
      <c r="B244">
        <v>26</v>
      </c>
      <c r="C244" t="s">
        <v>16</v>
      </c>
      <c r="D244" t="s">
        <v>20</v>
      </c>
      <c r="E244">
        <v>72.5</v>
      </c>
      <c r="F244">
        <v>5.2</v>
      </c>
      <c r="G244" s="14">
        <f>Stress_And_Productivity_1[[#This Row],[stress_level_0_10]]*10</f>
        <v>52</v>
      </c>
    </row>
    <row r="245" spans="1:7" x14ac:dyDescent="0.3">
      <c r="A245" t="s">
        <v>273</v>
      </c>
      <c r="B245">
        <v>24</v>
      </c>
      <c r="C245" t="s">
        <v>16</v>
      </c>
      <c r="D245" t="s">
        <v>20</v>
      </c>
      <c r="E245">
        <v>43.8</v>
      </c>
      <c r="F245">
        <v>8.5</v>
      </c>
      <c r="G245" s="14">
        <f>Stress_And_Productivity_1[[#This Row],[stress_level_0_10]]*10</f>
        <v>85</v>
      </c>
    </row>
    <row r="246" spans="1:7" x14ac:dyDescent="0.3">
      <c r="A246" t="s">
        <v>274</v>
      </c>
      <c r="B246">
        <v>44</v>
      </c>
      <c r="C246" t="s">
        <v>24</v>
      </c>
      <c r="D246" t="s">
        <v>18</v>
      </c>
      <c r="E246">
        <v>59.5</v>
      </c>
      <c r="F246">
        <v>10</v>
      </c>
      <c r="G246" s="14">
        <f>Stress_And_Productivity_1[[#This Row],[stress_level_0_10]]*10</f>
        <v>100</v>
      </c>
    </row>
    <row r="247" spans="1:7" x14ac:dyDescent="0.3">
      <c r="A247" t="s">
        <v>275</v>
      </c>
      <c r="B247">
        <v>33</v>
      </c>
      <c r="C247" t="s">
        <v>16</v>
      </c>
      <c r="D247" t="s">
        <v>18</v>
      </c>
      <c r="E247">
        <v>51.4</v>
      </c>
      <c r="F247">
        <v>10</v>
      </c>
      <c r="G247" s="14">
        <f>Stress_And_Productivity_1[[#This Row],[stress_level_0_10]]*10</f>
        <v>100</v>
      </c>
    </row>
    <row r="248" spans="1:7" x14ac:dyDescent="0.3">
      <c r="A248" t="s">
        <v>276</v>
      </c>
      <c r="B248">
        <v>19</v>
      </c>
      <c r="C248" t="s">
        <v>16</v>
      </c>
      <c r="D248" t="s">
        <v>18</v>
      </c>
      <c r="E248">
        <v>41</v>
      </c>
      <c r="F248">
        <v>10</v>
      </c>
      <c r="G248" s="14">
        <f>Stress_And_Productivity_1[[#This Row],[stress_level_0_10]]*10</f>
        <v>100</v>
      </c>
    </row>
    <row r="249" spans="1:7" x14ac:dyDescent="0.3">
      <c r="A249" t="s">
        <v>277</v>
      </c>
      <c r="B249">
        <v>37</v>
      </c>
      <c r="C249" t="s">
        <v>24</v>
      </c>
      <c r="D249" t="s">
        <v>22</v>
      </c>
      <c r="E249">
        <v>88.9</v>
      </c>
      <c r="F249">
        <v>2.7</v>
      </c>
      <c r="G249" s="14">
        <f>Stress_And_Productivity_1[[#This Row],[stress_level_0_10]]*10</f>
        <v>27</v>
      </c>
    </row>
    <row r="250" spans="1:7" x14ac:dyDescent="0.3">
      <c r="A250" t="s">
        <v>278</v>
      </c>
      <c r="B250">
        <v>46</v>
      </c>
      <c r="C250" t="s">
        <v>24</v>
      </c>
      <c r="D250" t="s">
        <v>22</v>
      </c>
      <c r="E250">
        <v>36.5</v>
      </c>
      <c r="F250">
        <v>10</v>
      </c>
      <c r="G250" s="14">
        <f>Stress_And_Productivity_1[[#This Row],[stress_level_0_10]]*10</f>
        <v>100</v>
      </c>
    </row>
    <row r="251" spans="1:7" x14ac:dyDescent="0.3">
      <c r="A251" t="s">
        <v>279</v>
      </c>
      <c r="B251">
        <v>38</v>
      </c>
      <c r="C251" t="s">
        <v>24</v>
      </c>
      <c r="D251" t="s">
        <v>22</v>
      </c>
      <c r="E251">
        <v>53.2</v>
      </c>
      <c r="F251">
        <v>8.6</v>
      </c>
      <c r="G251" s="14">
        <f>Stress_And_Productivity_1[[#This Row],[stress_level_0_10]]*10</f>
        <v>86</v>
      </c>
    </row>
    <row r="252" spans="1:7" x14ac:dyDescent="0.3">
      <c r="A252" t="s">
        <v>280</v>
      </c>
      <c r="B252">
        <v>17</v>
      </c>
      <c r="C252" t="s">
        <v>24</v>
      </c>
      <c r="D252" t="s">
        <v>18</v>
      </c>
      <c r="E252">
        <v>65.599999999999994</v>
      </c>
      <c r="F252">
        <v>7.6</v>
      </c>
      <c r="G252" s="14">
        <f>Stress_And_Productivity_1[[#This Row],[stress_level_0_10]]*10</f>
        <v>76</v>
      </c>
    </row>
    <row r="253" spans="1:7" x14ac:dyDescent="0.3">
      <c r="A253" t="s">
        <v>281</v>
      </c>
      <c r="B253">
        <v>26</v>
      </c>
      <c r="C253" t="s">
        <v>24</v>
      </c>
      <c r="D253" t="s">
        <v>22</v>
      </c>
      <c r="E253">
        <v>65.099999999999994</v>
      </c>
      <c r="F253">
        <v>7.1</v>
      </c>
      <c r="G253" s="14">
        <f>Stress_And_Productivity_1[[#This Row],[stress_level_0_10]]*10</f>
        <v>71</v>
      </c>
    </row>
    <row r="254" spans="1:7" x14ac:dyDescent="0.3">
      <c r="A254" t="s">
        <v>282</v>
      </c>
      <c r="B254">
        <v>40</v>
      </c>
      <c r="C254" t="s">
        <v>16</v>
      </c>
      <c r="D254" t="s">
        <v>22</v>
      </c>
      <c r="E254">
        <v>50.5</v>
      </c>
      <c r="F254">
        <v>8.4</v>
      </c>
      <c r="G254" s="14">
        <f>Stress_And_Productivity_1[[#This Row],[stress_level_0_10]]*10</f>
        <v>84</v>
      </c>
    </row>
    <row r="255" spans="1:7" x14ac:dyDescent="0.3">
      <c r="A255" t="s">
        <v>284</v>
      </c>
      <c r="B255">
        <v>33</v>
      </c>
      <c r="C255" t="s">
        <v>16</v>
      </c>
      <c r="D255" t="s">
        <v>20</v>
      </c>
      <c r="E255">
        <v>48.8</v>
      </c>
      <c r="F255">
        <v>8.5</v>
      </c>
      <c r="G255" s="14">
        <f>Stress_And_Productivity_1[[#This Row],[stress_level_0_10]]*10</f>
        <v>85</v>
      </c>
    </row>
    <row r="256" spans="1:7" x14ac:dyDescent="0.3">
      <c r="A256" t="s">
        <v>285</v>
      </c>
      <c r="B256">
        <v>36</v>
      </c>
      <c r="C256" t="s">
        <v>24</v>
      </c>
      <c r="D256" t="s">
        <v>18</v>
      </c>
      <c r="E256">
        <v>65.7</v>
      </c>
      <c r="F256">
        <v>7.8</v>
      </c>
      <c r="G256" s="14">
        <f>Stress_And_Productivity_1[[#This Row],[stress_level_0_10]]*10</f>
        <v>78</v>
      </c>
    </row>
    <row r="257" spans="1:7" x14ac:dyDescent="0.3">
      <c r="A257" t="s">
        <v>286</v>
      </c>
      <c r="B257">
        <v>22</v>
      </c>
      <c r="C257" t="s">
        <v>24</v>
      </c>
      <c r="D257" t="s">
        <v>22</v>
      </c>
      <c r="E257">
        <v>60.9</v>
      </c>
      <c r="F257">
        <v>7.4</v>
      </c>
      <c r="G257" s="14">
        <f>Stress_And_Productivity_1[[#This Row],[stress_level_0_10]]*10</f>
        <v>74</v>
      </c>
    </row>
    <row r="258" spans="1:7" x14ac:dyDescent="0.3">
      <c r="A258" t="s">
        <v>287</v>
      </c>
      <c r="B258">
        <v>29</v>
      </c>
      <c r="C258" t="s">
        <v>16</v>
      </c>
      <c r="D258" t="s">
        <v>18</v>
      </c>
      <c r="E258">
        <v>48.1</v>
      </c>
      <c r="F258">
        <v>7.8</v>
      </c>
      <c r="G258" s="14">
        <f>Stress_And_Productivity_1[[#This Row],[stress_level_0_10]]*10</f>
        <v>78</v>
      </c>
    </row>
    <row r="259" spans="1:7" x14ac:dyDescent="0.3">
      <c r="A259" t="s">
        <v>288</v>
      </c>
      <c r="B259">
        <v>16</v>
      </c>
      <c r="C259" t="s">
        <v>16</v>
      </c>
      <c r="D259" t="s">
        <v>22</v>
      </c>
      <c r="E259">
        <v>58.3</v>
      </c>
      <c r="F259">
        <v>6.9</v>
      </c>
      <c r="G259" s="14">
        <f>Stress_And_Productivity_1[[#This Row],[stress_level_0_10]]*10</f>
        <v>69</v>
      </c>
    </row>
    <row r="260" spans="1:7" x14ac:dyDescent="0.3">
      <c r="A260" t="s">
        <v>289</v>
      </c>
      <c r="B260">
        <v>21</v>
      </c>
      <c r="C260" t="s">
        <v>24</v>
      </c>
      <c r="D260" t="s">
        <v>20</v>
      </c>
      <c r="E260">
        <v>50.4</v>
      </c>
      <c r="F260">
        <v>8.5</v>
      </c>
      <c r="G260" s="14">
        <f>Stress_And_Productivity_1[[#This Row],[stress_level_0_10]]*10</f>
        <v>85</v>
      </c>
    </row>
    <row r="261" spans="1:7" x14ac:dyDescent="0.3">
      <c r="A261" t="s">
        <v>290</v>
      </c>
      <c r="B261">
        <v>27</v>
      </c>
      <c r="C261" t="s">
        <v>16</v>
      </c>
      <c r="D261" t="s">
        <v>22</v>
      </c>
      <c r="E261">
        <v>43.6</v>
      </c>
      <c r="F261">
        <v>10</v>
      </c>
      <c r="G261" s="14">
        <f>Stress_And_Productivity_1[[#This Row],[stress_level_0_10]]*10</f>
        <v>100</v>
      </c>
    </row>
    <row r="262" spans="1:7" x14ac:dyDescent="0.3">
      <c r="A262" t="s">
        <v>291</v>
      </c>
      <c r="B262">
        <v>20</v>
      </c>
      <c r="C262" t="s">
        <v>24</v>
      </c>
      <c r="D262" t="s">
        <v>20</v>
      </c>
      <c r="E262">
        <v>67.3</v>
      </c>
      <c r="F262">
        <v>6.7</v>
      </c>
      <c r="G262" s="14">
        <f>Stress_And_Productivity_1[[#This Row],[stress_level_0_10]]*10</f>
        <v>67</v>
      </c>
    </row>
    <row r="263" spans="1:7" x14ac:dyDescent="0.3">
      <c r="A263" t="s">
        <v>292</v>
      </c>
      <c r="B263">
        <v>43</v>
      </c>
      <c r="C263" t="s">
        <v>16</v>
      </c>
      <c r="D263" t="s">
        <v>18</v>
      </c>
      <c r="E263">
        <v>52.2</v>
      </c>
      <c r="F263">
        <v>8.4</v>
      </c>
      <c r="G263" s="14">
        <f>Stress_And_Productivity_1[[#This Row],[stress_level_0_10]]*10</f>
        <v>84</v>
      </c>
    </row>
    <row r="264" spans="1:7" x14ac:dyDescent="0.3">
      <c r="A264" t="s">
        <v>293</v>
      </c>
      <c r="B264">
        <v>18</v>
      </c>
      <c r="C264" t="s">
        <v>24</v>
      </c>
      <c r="D264" t="s">
        <v>18</v>
      </c>
      <c r="E264">
        <v>39.799999999999997</v>
      </c>
      <c r="F264">
        <v>10</v>
      </c>
      <c r="G264" s="14">
        <f>Stress_And_Productivity_1[[#This Row],[stress_level_0_10]]*10</f>
        <v>100</v>
      </c>
    </row>
    <row r="265" spans="1:7" x14ac:dyDescent="0.3">
      <c r="A265" t="s">
        <v>294</v>
      </c>
      <c r="B265">
        <v>26</v>
      </c>
      <c r="C265" t="s">
        <v>16</v>
      </c>
      <c r="D265" t="s">
        <v>22</v>
      </c>
      <c r="E265">
        <v>56.2</v>
      </c>
      <c r="F265">
        <v>9.3000000000000007</v>
      </c>
      <c r="G265" s="14">
        <f>Stress_And_Productivity_1[[#This Row],[stress_level_0_10]]*10</f>
        <v>93</v>
      </c>
    </row>
    <row r="266" spans="1:7" x14ac:dyDescent="0.3">
      <c r="A266" t="s">
        <v>295</v>
      </c>
      <c r="B266">
        <v>31</v>
      </c>
      <c r="C266" t="s">
        <v>24</v>
      </c>
      <c r="D266" t="s">
        <v>22</v>
      </c>
      <c r="E266">
        <v>64.599999999999994</v>
      </c>
      <c r="F266">
        <v>7.5</v>
      </c>
      <c r="G266" s="14">
        <f>Stress_And_Productivity_1[[#This Row],[stress_level_0_10]]*10</f>
        <v>75</v>
      </c>
    </row>
    <row r="267" spans="1:7" x14ac:dyDescent="0.3">
      <c r="A267" t="s">
        <v>296</v>
      </c>
      <c r="B267">
        <v>41</v>
      </c>
      <c r="C267" t="s">
        <v>24</v>
      </c>
      <c r="D267" t="s">
        <v>18</v>
      </c>
      <c r="E267">
        <v>49</v>
      </c>
      <c r="F267">
        <v>6.8</v>
      </c>
      <c r="G267" s="14">
        <f>Stress_And_Productivity_1[[#This Row],[stress_level_0_10]]*10</f>
        <v>68</v>
      </c>
    </row>
    <row r="268" spans="1:7" x14ac:dyDescent="0.3">
      <c r="A268" t="s">
        <v>297</v>
      </c>
      <c r="B268">
        <v>18</v>
      </c>
      <c r="C268" t="s">
        <v>24</v>
      </c>
      <c r="D268" t="s">
        <v>18</v>
      </c>
      <c r="E268">
        <v>62.2</v>
      </c>
      <c r="F268">
        <v>5.9</v>
      </c>
      <c r="G268" s="14">
        <f>Stress_And_Productivity_1[[#This Row],[stress_level_0_10]]*10</f>
        <v>59</v>
      </c>
    </row>
    <row r="269" spans="1:7" x14ac:dyDescent="0.3">
      <c r="A269" t="s">
        <v>298</v>
      </c>
      <c r="B269">
        <v>39</v>
      </c>
      <c r="C269" t="s">
        <v>24</v>
      </c>
      <c r="D269" t="s">
        <v>18</v>
      </c>
      <c r="E269">
        <v>47.1</v>
      </c>
      <c r="F269">
        <v>7.7</v>
      </c>
      <c r="G269" s="14">
        <f>Stress_And_Productivity_1[[#This Row],[stress_level_0_10]]*10</f>
        <v>77</v>
      </c>
    </row>
    <row r="270" spans="1:7" x14ac:dyDescent="0.3">
      <c r="A270" t="s">
        <v>299</v>
      </c>
      <c r="B270">
        <v>30</v>
      </c>
      <c r="C270" t="s">
        <v>24</v>
      </c>
      <c r="D270" t="s">
        <v>20</v>
      </c>
      <c r="E270">
        <v>60.4</v>
      </c>
      <c r="F270">
        <v>7</v>
      </c>
      <c r="G270" s="14">
        <f>Stress_And_Productivity_1[[#This Row],[stress_level_0_10]]*10</f>
        <v>70</v>
      </c>
    </row>
    <row r="271" spans="1:7" x14ac:dyDescent="0.3">
      <c r="A271" t="s">
        <v>300</v>
      </c>
      <c r="B271">
        <v>22</v>
      </c>
      <c r="C271" t="s">
        <v>24</v>
      </c>
      <c r="D271" t="s">
        <v>18</v>
      </c>
      <c r="E271">
        <v>20.6</v>
      </c>
      <c r="F271">
        <v>10</v>
      </c>
      <c r="G271" s="14">
        <f>Stress_And_Productivity_1[[#This Row],[stress_level_0_10]]*10</f>
        <v>100</v>
      </c>
    </row>
    <row r="272" spans="1:7" x14ac:dyDescent="0.3">
      <c r="A272" t="s">
        <v>301</v>
      </c>
      <c r="B272">
        <v>33</v>
      </c>
      <c r="C272" t="s">
        <v>16</v>
      </c>
      <c r="D272" t="s">
        <v>18</v>
      </c>
      <c r="E272">
        <v>28.4</v>
      </c>
      <c r="F272">
        <v>10</v>
      </c>
      <c r="G272" s="14">
        <f>Stress_And_Productivity_1[[#This Row],[stress_level_0_10]]*10</f>
        <v>100</v>
      </c>
    </row>
    <row r="273" spans="1:7" x14ac:dyDescent="0.3">
      <c r="A273" t="s">
        <v>302</v>
      </c>
      <c r="B273">
        <v>31</v>
      </c>
      <c r="C273" t="s">
        <v>24</v>
      </c>
      <c r="D273" t="s">
        <v>18</v>
      </c>
      <c r="E273">
        <v>42.2</v>
      </c>
      <c r="F273">
        <v>10</v>
      </c>
      <c r="G273" s="14">
        <f>Stress_And_Productivity_1[[#This Row],[stress_level_0_10]]*10</f>
        <v>100</v>
      </c>
    </row>
    <row r="274" spans="1:7" x14ac:dyDescent="0.3">
      <c r="A274" t="s">
        <v>303</v>
      </c>
      <c r="B274">
        <v>25</v>
      </c>
      <c r="C274" t="s">
        <v>24</v>
      </c>
      <c r="D274" t="s">
        <v>22</v>
      </c>
      <c r="E274">
        <v>88.1</v>
      </c>
      <c r="F274">
        <v>3.9</v>
      </c>
      <c r="G274" s="14">
        <f>Stress_And_Productivity_1[[#This Row],[stress_level_0_10]]*10</f>
        <v>39</v>
      </c>
    </row>
    <row r="275" spans="1:7" x14ac:dyDescent="0.3">
      <c r="A275" t="s">
        <v>304</v>
      </c>
      <c r="B275">
        <v>30</v>
      </c>
      <c r="C275" t="s">
        <v>16</v>
      </c>
      <c r="D275" t="s">
        <v>18</v>
      </c>
      <c r="E275">
        <v>40.4</v>
      </c>
      <c r="F275">
        <v>8</v>
      </c>
      <c r="G275" s="14">
        <f>Stress_And_Productivity_1[[#This Row],[stress_level_0_10]]*10</f>
        <v>80</v>
      </c>
    </row>
    <row r="276" spans="1:7" x14ac:dyDescent="0.3">
      <c r="A276" t="s">
        <v>305</v>
      </c>
      <c r="B276">
        <v>26</v>
      </c>
      <c r="C276" t="s">
        <v>24</v>
      </c>
      <c r="D276" t="s">
        <v>22</v>
      </c>
      <c r="E276">
        <v>54</v>
      </c>
      <c r="F276">
        <v>8.4</v>
      </c>
      <c r="G276" s="14">
        <f>Stress_And_Productivity_1[[#This Row],[stress_level_0_10]]*10</f>
        <v>84</v>
      </c>
    </row>
    <row r="277" spans="1:7" x14ac:dyDescent="0.3">
      <c r="A277" t="s">
        <v>306</v>
      </c>
      <c r="B277">
        <v>30</v>
      </c>
      <c r="C277" t="s">
        <v>24</v>
      </c>
      <c r="D277" t="s">
        <v>18</v>
      </c>
      <c r="E277">
        <v>41.9</v>
      </c>
      <c r="F277">
        <v>10</v>
      </c>
      <c r="G277" s="14">
        <f>Stress_And_Productivity_1[[#This Row],[stress_level_0_10]]*10</f>
        <v>100</v>
      </c>
    </row>
    <row r="278" spans="1:7" x14ac:dyDescent="0.3">
      <c r="A278" t="s">
        <v>307</v>
      </c>
      <c r="B278">
        <v>35</v>
      </c>
      <c r="C278" t="s">
        <v>24</v>
      </c>
      <c r="D278" t="s">
        <v>20</v>
      </c>
      <c r="E278">
        <v>70.3</v>
      </c>
      <c r="F278">
        <v>7.1</v>
      </c>
      <c r="G278" s="14">
        <f>Stress_And_Productivity_1[[#This Row],[stress_level_0_10]]*10</f>
        <v>71</v>
      </c>
    </row>
    <row r="279" spans="1:7" x14ac:dyDescent="0.3">
      <c r="A279" t="s">
        <v>308</v>
      </c>
      <c r="B279">
        <v>42</v>
      </c>
      <c r="C279" t="s">
        <v>16</v>
      </c>
      <c r="D279" t="s">
        <v>18</v>
      </c>
      <c r="E279">
        <v>51.3</v>
      </c>
      <c r="F279">
        <v>10</v>
      </c>
      <c r="G279" s="14">
        <f>Stress_And_Productivity_1[[#This Row],[stress_level_0_10]]*10</f>
        <v>100</v>
      </c>
    </row>
    <row r="280" spans="1:7" x14ac:dyDescent="0.3">
      <c r="A280" t="s">
        <v>309</v>
      </c>
      <c r="B280">
        <v>20</v>
      </c>
      <c r="C280" t="s">
        <v>16</v>
      </c>
      <c r="D280" t="s">
        <v>22</v>
      </c>
      <c r="E280">
        <v>75.099999999999994</v>
      </c>
      <c r="F280">
        <v>6.3</v>
      </c>
      <c r="G280" s="14">
        <f>Stress_And_Productivity_1[[#This Row],[stress_level_0_10]]*10</f>
        <v>63</v>
      </c>
    </row>
    <row r="281" spans="1:7" x14ac:dyDescent="0.3">
      <c r="A281" t="s">
        <v>310</v>
      </c>
      <c r="B281">
        <v>47</v>
      </c>
      <c r="C281" t="s">
        <v>28</v>
      </c>
      <c r="D281" t="s">
        <v>20</v>
      </c>
      <c r="E281">
        <v>65.599999999999994</v>
      </c>
      <c r="F281">
        <v>6.7</v>
      </c>
      <c r="G281" s="14">
        <f>Stress_And_Productivity_1[[#This Row],[stress_level_0_10]]*10</f>
        <v>67</v>
      </c>
    </row>
    <row r="282" spans="1:7" x14ac:dyDescent="0.3">
      <c r="A282" t="s">
        <v>311</v>
      </c>
      <c r="B282">
        <v>16</v>
      </c>
      <c r="C282" t="s">
        <v>24</v>
      </c>
      <c r="D282" t="s">
        <v>22</v>
      </c>
      <c r="E282">
        <v>75.7</v>
      </c>
      <c r="F282">
        <v>6.9</v>
      </c>
      <c r="G282" s="14">
        <f>Stress_And_Productivity_1[[#This Row],[stress_level_0_10]]*10</f>
        <v>69</v>
      </c>
    </row>
    <row r="283" spans="1:7" x14ac:dyDescent="0.3">
      <c r="A283" t="s">
        <v>312</v>
      </c>
      <c r="B283">
        <v>28</v>
      </c>
      <c r="C283" t="s">
        <v>16</v>
      </c>
      <c r="D283" t="s">
        <v>18</v>
      </c>
      <c r="E283">
        <v>43.6</v>
      </c>
      <c r="F283">
        <v>7.8</v>
      </c>
      <c r="G283" s="14">
        <f>Stress_And_Productivity_1[[#This Row],[stress_level_0_10]]*10</f>
        <v>78</v>
      </c>
    </row>
    <row r="284" spans="1:7" x14ac:dyDescent="0.3">
      <c r="A284" t="s">
        <v>313</v>
      </c>
      <c r="B284">
        <v>34</v>
      </c>
      <c r="C284" t="s">
        <v>24</v>
      </c>
      <c r="D284" t="s">
        <v>22</v>
      </c>
      <c r="E284">
        <v>30.5</v>
      </c>
      <c r="F284">
        <v>10</v>
      </c>
      <c r="G284" s="14">
        <f>Stress_And_Productivity_1[[#This Row],[stress_level_0_10]]*10</f>
        <v>100</v>
      </c>
    </row>
    <row r="285" spans="1:7" x14ac:dyDescent="0.3">
      <c r="A285" t="s">
        <v>314</v>
      </c>
      <c r="B285">
        <v>32</v>
      </c>
      <c r="C285" t="s">
        <v>24</v>
      </c>
      <c r="D285" t="s">
        <v>22</v>
      </c>
      <c r="E285">
        <v>42.2</v>
      </c>
      <c r="F285">
        <v>10</v>
      </c>
      <c r="G285" s="14">
        <f>Stress_And_Productivity_1[[#This Row],[stress_level_0_10]]*10</f>
        <v>100</v>
      </c>
    </row>
    <row r="286" spans="1:7" x14ac:dyDescent="0.3">
      <c r="A286" t="s">
        <v>315</v>
      </c>
      <c r="B286">
        <v>25</v>
      </c>
      <c r="C286" t="s">
        <v>16</v>
      </c>
      <c r="D286" t="s">
        <v>22</v>
      </c>
      <c r="E286">
        <v>59.6</v>
      </c>
      <c r="F286">
        <v>8.6</v>
      </c>
      <c r="G286" s="14">
        <f>Stress_And_Productivity_1[[#This Row],[stress_level_0_10]]*10</f>
        <v>86</v>
      </c>
    </row>
    <row r="287" spans="1:7" x14ac:dyDescent="0.3">
      <c r="A287" t="s">
        <v>316</v>
      </c>
      <c r="B287">
        <v>28</v>
      </c>
      <c r="C287" t="s">
        <v>24</v>
      </c>
      <c r="D287" t="s">
        <v>20</v>
      </c>
      <c r="E287">
        <v>66.2</v>
      </c>
      <c r="F287">
        <v>5.5</v>
      </c>
      <c r="G287" s="14">
        <f>Stress_And_Productivity_1[[#This Row],[stress_level_0_10]]*10</f>
        <v>55</v>
      </c>
    </row>
    <row r="288" spans="1:7" x14ac:dyDescent="0.3">
      <c r="A288" t="s">
        <v>317</v>
      </c>
      <c r="B288">
        <v>26</v>
      </c>
      <c r="C288" t="s">
        <v>16</v>
      </c>
      <c r="D288" t="s">
        <v>22</v>
      </c>
      <c r="E288">
        <v>64.599999999999994</v>
      </c>
      <c r="F288">
        <v>6.2</v>
      </c>
      <c r="G288" s="14">
        <f>Stress_And_Productivity_1[[#This Row],[stress_level_0_10]]*10</f>
        <v>62</v>
      </c>
    </row>
    <row r="289" spans="1:7" x14ac:dyDescent="0.3">
      <c r="A289" t="s">
        <v>318</v>
      </c>
      <c r="B289">
        <v>25</v>
      </c>
      <c r="C289" t="s">
        <v>16</v>
      </c>
      <c r="D289" t="s">
        <v>22</v>
      </c>
      <c r="E289">
        <v>42.4</v>
      </c>
      <c r="F289">
        <v>8.4</v>
      </c>
      <c r="G289" s="14">
        <f>Stress_And_Productivity_1[[#This Row],[stress_level_0_10]]*10</f>
        <v>84</v>
      </c>
    </row>
    <row r="290" spans="1:7" x14ac:dyDescent="0.3">
      <c r="A290" t="s">
        <v>319</v>
      </c>
      <c r="B290">
        <v>36</v>
      </c>
      <c r="C290" t="s">
        <v>16</v>
      </c>
      <c r="D290" t="s">
        <v>20</v>
      </c>
      <c r="E290">
        <v>47</v>
      </c>
      <c r="F290">
        <v>10</v>
      </c>
      <c r="G290" s="14">
        <f>Stress_And_Productivity_1[[#This Row],[stress_level_0_10]]*10</f>
        <v>100</v>
      </c>
    </row>
    <row r="291" spans="1:7" x14ac:dyDescent="0.3">
      <c r="A291" t="s">
        <v>320</v>
      </c>
      <c r="B291">
        <v>32</v>
      </c>
      <c r="C291" t="s">
        <v>24</v>
      </c>
      <c r="D291" t="s">
        <v>22</v>
      </c>
      <c r="E291">
        <v>75.7</v>
      </c>
      <c r="F291">
        <v>6.5</v>
      </c>
      <c r="G291" s="14">
        <f>Stress_And_Productivity_1[[#This Row],[stress_level_0_10]]*10</f>
        <v>65</v>
      </c>
    </row>
    <row r="292" spans="1:7" x14ac:dyDescent="0.3">
      <c r="A292" t="s">
        <v>321</v>
      </c>
      <c r="B292">
        <v>24</v>
      </c>
      <c r="C292" t="s">
        <v>16</v>
      </c>
      <c r="D292" t="s">
        <v>18</v>
      </c>
      <c r="E292">
        <v>49.2</v>
      </c>
      <c r="F292">
        <v>9.5</v>
      </c>
      <c r="G292" s="14">
        <f>Stress_And_Productivity_1[[#This Row],[stress_level_0_10]]*10</f>
        <v>95</v>
      </c>
    </row>
    <row r="293" spans="1:7" x14ac:dyDescent="0.3">
      <c r="A293" t="s">
        <v>322</v>
      </c>
      <c r="B293">
        <v>37</v>
      </c>
      <c r="C293" t="s">
        <v>16</v>
      </c>
      <c r="D293" t="s">
        <v>22</v>
      </c>
      <c r="E293">
        <v>46.8</v>
      </c>
      <c r="F293">
        <v>7.8</v>
      </c>
      <c r="G293" s="14">
        <f>Stress_And_Productivity_1[[#This Row],[stress_level_0_10]]*10</f>
        <v>78</v>
      </c>
    </row>
    <row r="294" spans="1:7" x14ac:dyDescent="0.3">
      <c r="A294" t="s">
        <v>323</v>
      </c>
      <c r="B294">
        <v>32</v>
      </c>
      <c r="C294" t="s">
        <v>16</v>
      </c>
      <c r="D294" t="s">
        <v>20</v>
      </c>
      <c r="E294">
        <v>49.5</v>
      </c>
      <c r="F294">
        <v>9.8000000000000007</v>
      </c>
      <c r="G294" s="14">
        <f>Stress_And_Productivity_1[[#This Row],[stress_level_0_10]]*10</f>
        <v>98</v>
      </c>
    </row>
    <row r="295" spans="1:7" x14ac:dyDescent="0.3">
      <c r="A295" t="s">
        <v>324</v>
      </c>
      <c r="B295">
        <v>36</v>
      </c>
      <c r="C295" t="s">
        <v>24</v>
      </c>
      <c r="D295" t="s">
        <v>18</v>
      </c>
      <c r="E295">
        <v>40.6</v>
      </c>
      <c r="F295">
        <v>8.6</v>
      </c>
      <c r="G295" s="14">
        <f>Stress_And_Productivity_1[[#This Row],[stress_level_0_10]]*10</f>
        <v>86</v>
      </c>
    </row>
    <row r="296" spans="1:7" x14ac:dyDescent="0.3">
      <c r="A296" t="s">
        <v>325</v>
      </c>
      <c r="B296">
        <v>35</v>
      </c>
      <c r="C296" t="s">
        <v>24</v>
      </c>
      <c r="D296" t="s">
        <v>22</v>
      </c>
      <c r="E296">
        <v>66.900000000000006</v>
      </c>
      <c r="F296">
        <v>5.5</v>
      </c>
      <c r="G296" s="14">
        <f>Stress_And_Productivity_1[[#This Row],[stress_level_0_10]]*10</f>
        <v>55</v>
      </c>
    </row>
    <row r="297" spans="1:7" x14ac:dyDescent="0.3">
      <c r="A297" t="s">
        <v>326</v>
      </c>
      <c r="B297">
        <v>23</v>
      </c>
      <c r="C297" t="s">
        <v>16</v>
      </c>
      <c r="D297" t="s">
        <v>18</v>
      </c>
      <c r="E297">
        <v>38.6</v>
      </c>
      <c r="F297">
        <v>10</v>
      </c>
      <c r="G297" s="14">
        <f>Stress_And_Productivity_1[[#This Row],[stress_level_0_10]]*10</f>
        <v>100</v>
      </c>
    </row>
    <row r="298" spans="1:7" x14ac:dyDescent="0.3">
      <c r="A298" t="s">
        <v>327</v>
      </c>
      <c r="B298">
        <v>25</v>
      </c>
      <c r="C298" t="s">
        <v>16</v>
      </c>
      <c r="D298" t="s">
        <v>22</v>
      </c>
      <c r="E298">
        <v>34.4</v>
      </c>
      <c r="F298">
        <v>10</v>
      </c>
      <c r="G298" s="14">
        <f>Stress_And_Productivity_1[[#This Row],[stress_level_0_10]]*10</f>
        <v>100</v>
      </c>
    </row>
    <row r="299" spans="1:7" x14ac:dyDescent="0.3">
      <c r="A299" t="s">
        <v>328</v>
      </c>
      <c r="B299">
        <v>35</v>
      </c>
      <c r="C299" t="s">
        <v>24</v>
      </c>
      <c r="D299" t="s">
        <v>18</v>
      </c>
      <c r="E299">
        <v>47.8</v>
      </c>
      <c r="F299">
        <v>8.6999999999999993</v>
      </c>
      <c r="G299" s="14">
        <f>Stress_And_Productivity_1[[#This Row],[stress_level_0_10]]*10</f>
        <v>87</v>
      </c>
    </row>
    <row r="300" spans="1:7" x14ac:dyDescent="0.3">
      <c r="A300" t="s">
        <v>329</v>
      </c>
      <c r="B300">
        <v>34</v>
      </c>
      <c r="C300" t="s">
        <v>16</v>
      </c>
      <c r="D300" t="s">
        <v>22</v>
      </c>
      <c r="E300">
        <v>46.3</v>
      </c>
      <c r="F300">
        <v>9.8000000000000007</v>
      </c>
      <c r="G300" s="14">
        <f>Stress_And_Productivity_1[[#This Row],[stress_level_0_10]]*10</f>
        <v>98</v>
      </c>
    </row>
    <row r="301" spans="1:7" x14ac:dyDescent="0.3">
      <c r="A301" t="s">
        <v>330</v>
      </c>
      <c r="B301">
        <v>29</v>
      </c>
      <c r="C301" t="s">
        <v>16</v>
      </c>
      <c r="D301" t="s">
        <v>22</v>
      </c>
      <c r="E301">
        <v>48.1</v>
      </c>
      <c r="F301">
        <v>9.1</v>
      </c>
      <c r="G301" s="14">
        <f>Stress_And_Productivity_1[[#This Row],[stress_level_0_10]]*10</f>
        <v>91</v>
      </c>
    </row>
    <row r="302" spans="1:7" x14ac:dyDescent="0.3">
      <c r="A302" t="s">
        <v>331</v>
      </c>
      <c r="B302">
        <v>30</v>
      </c>
      <c r="C302" t="s">
        <v>16</v>
      </c>
      <c r="D302" t="s">
        <v>18</v>
      </c>
      <c r="E302">
        <v>41.9</v>
      </c>
      <c r="F302">
        <v>10</v>
      </c>
      <c r="G302" s="14">
        <f>Stress_And_Productivity_1[[#This Row],[stress_level_0_10]]*10</f>
        <v>100</v>
      </c>
    </row>
    <row r="303" spans="1:7" x14ac:dyDescent="0.3">
      <c r="A303" t="s">
        <v>332</v>
      </c>
      <c r="B303">
        <v>40</v>
      </c>
      <c r="C303" t="s">
        <v>16</v>
      </c>
      <c r="D303" t="s">
        <v>22</v>
      </c>
      <c r="E303">
        <v>43.4</v>
      </c>
      <c r="F303">
        <v>10</v>
      </c>
      <c r="G303" s="14">
        <f>Stress_And_Productivity_1[[#This Row],[stress_level_0_10]]*10</f>
        <v>100</v>
      </c>
    </row>
    <row r="304" spans="1:7" x14ac:dyDescent="0.3">
      <c r="A304" t="s">
        <v>333</v>
      </c>
      <c r="B304">
        <v>25</v>
      </c>
      <c r="C304" t="s">
        <v>16</v>
      </c>
      <c r="D304" t="s">
        <v>20</v>
      </c>
      <c r="E304">
        <v>52.2</v>
      </c>
      <c r="F304">
        <v>7.1</v>
      </c>
      <c r="G304" s="14">
        <f>Stress_And_Productivity_1[[#This Row],[stress_level_0_10]]*10</f>
        <v>71</v>
      </c>
    </row>
    <row r="305" spans="1:7" x14ac:dyDescent="0.3">
      <c r="A305" t="s">
        <v>334</v>
      </c>
      <c r="B305">
        <v>34</v>
      </c>
      <c r="C305" t="s">
        <v>16</v>
      </c>
      <c r="D305" t="s">
        <v>20</v>
      </c>
      <c r="E305">
        <v>49.8</v>
      </c>
      <c r="F305">
        <v>9.4</v>
      </c>
      <c r="G305" s="14">
        <f>Stress_And_Productivity_1[[#This Row],[stress_level_0_10]]*10</f>
        <v>94</v>
      </c>
    </row>
    <row r="306" spans="1:7" x14ac:dyDescent="0.3">
      <c r="A306" t="s">
        <v>335</v>
      </c>
      <c r="B306">
        <v>28</v>
      </c>
      <c r="C306" t="s">
        <v>16</v>
      </c>
      <c r="D306" t="s">
        <v>18</v>
      </c>
      <c r="E306">
        <v>60.2</v>
      </c>
      <c r="F306">
        <v>6.3</v>
      </c>
      <c r="G306" s="14">
        <f>Stress_And_Productivity_1[[#This Row],[stress_level_0_10]]*10</f>
        <v>63</v>
      </c>
    </row>
    <row r="307" spans="1:7" x14ac:dyDescent="0.3">
      <c r="A307" t="s">
        <v>336</v>
      </c>
      <c r="B307">
        <v>28</v>
      </c>
      <c r="C307" t="s">
        <v>24</v>
      </c>
      <c r="D307" t="s">
        <v>18</v>
      </c>
      <c r="E307">
        <v>56.6</v>
      </c>
      <c r="F307">
        <v>9.1</v>
      </c>
      <c r="G307" s="14">
        <f>Stress_And_Productivity_1[[#This Row],[stress_level_0_10]]*10</f>
        <v>91</v>
      </c>
    </row>
    <row r="308" spans="1:7" x14ac:dyDescent="0.3">
      <c r="A308" t="s">
        <v>337</v>
      </c>
      <c r="B308">
        <v>38</v>
      </c>
      <c r="C308" t="s">
        <v>16</v>
      </c>
      <c r="D308" t="s">
        <v>18</v>
      </c>
      <c r="E308">
        <v>49.7</v>
      </c>
      <c r="F308">
        <v>9.1</v>
      </c>
      <c r="G308" s="14">
        <f>Stress_And_Productivity_1[[#This Row],[stress_level_0_10]]*10</f>
        <v>91</v>
      </c>
    </row>
    <row r="309" spans="1:7" x14ac:dyDescent="0.3">
      <c r="A309" t="s">
        <v>338</v>
      </c>
      <c r="B309">
        <v>36</v>
      </c>
      <c r="C309" t="s">
        <v>24</v>
      </c>
      <c r="D309" t="s">
        <v>20</v>
      </c>
      <c r="E309">
        <v>60.8</v>
      </c>
      <c r="F309">
        <v>5.0999999999999996</v>
      </c>
      <c r="G309" s="14">
        <f>Stress_And_Productivity_1[[#This Row],[stress_level_0_10]]*10</f>
        <v>51</v>
      </c>
    </row>
    <row r="310" spans="1:7" x14ac:dyDescent="0.3">
      <c r="A310" t="s">
        <v>339</v>
      </c>
      <c r="B310">
        <v>36</v>
      </c>
      <c r="C310" t="s">
        <v>24</v>
      </c>
      <c r="D310" t="s">
        <v>20</v>
      </c>
      <c r="E310">
        <v>49.6</v>
      </c>
      <c r="F310">
        <v>10</v>
      </c>
      <c r="G310" s="14">
        <f>Stress_And_Productivity_1[[#This Row],[stress_level_0_10]]*10</f>
        <v>100</v>
      </c>
    </row>
    <row r="311" spans="1:7" x14ac:dyDescent="0.3">
      <c r="A311" t="s">
        <v>340</v>
      </c>
      <c r="B311">
        <v>40</v>
      </c>
      <c r="C311" t="s">
        <v>16</v>
      </c>
      <c r="D311" t="s">
        <v>22</v>
      </c>
      <c r="E311">
        <v>38.1</v>
      </c>
      <c r="F311">
        <v>10</v>
      </c>
      <c r="G311" s="14">
        <f>Stress_And_Productivity_1[[#This Row],[stress_level_0_10]]*10</f>
        <v>100</v>
      </c>
    </row>
    <row r="312" spans="1:7" x14ac:dyDescent="0.3">
      <c r="A312" t="s">
        <v>341</v>
      </c>
      <c r="B312">
        <v>30</v>
      </c>
      <c r="C312" t="s">
        <v>24</v>
      </c>
      <c r="D312" t="s">
        <v>20</v>
      </c>
      <c r="E312">
        <v>55.3</v>
      </c>
      <c r="F312">
        <v>8.3000000000000007</v>
      </c>
      <c r="G312" s="14">
        <f>Stress_And_Productivity_1[[#This Row],[stress_level_0_10]]*10</f>
        <v>83</v>
      </c>
    </row>
    <row r="313" spans="1:7" x14ac:dyDescent="0.3">
      <c r="A313" t="s">
        <v>342</v>
      </c>
      <c r="B313">
        <v>35</v>
      </c>
      <c r="C313" t="s">
        <v>16</v>
      </c>
      <c r="D313" t="s">
        <v>22</v>
      </c>
      <c r="E313">
        <v>80.2</v>
      </c>
      <c r="F313">
        <v>5</v>
      </c>
      <c r="G313" s="14">
        <f>Stress_And_Productivity_1[[#This Row],[stress_level_0_10]]*10</f>
        <v>50</v>
      </c>
    </row>
    <row r="314" spans="1:7" x14ac:dyDescent="0.3">
      <c r="A314" t="s">
        <v>343</v>
      </c>
      <c r="B314">
        <v>27</v>
      </c>
      <c r="C314" t="s">
        <v>24</v>
      </c>
      <c r="D314" t="s">
        <v>22</v>
      </c>
      <c r="E314">
        <v>72.7</v>
      </c>
      <c r="F314">
        <v>6.3</v>
      </c>
      <c r="G314" s="14">
        <f>Stress_And_Productivity_1[[#This Row],[stress_level_0_10]]*10</f>
        <v>63</v>
      </c>
    </row>
    <row r="315" spans="1:7" x14ac:dyDescent="0.3">
      <c r="A315" t="s">
        <v>344</v>
      </c>
      <c r="B315">
        <v>32</v>
      </c>
      <c r="C315" t="s">
        <v>16</v>
      </c>
      <c r="D315" t="s">
        <v>18</v>
      </c>
      <c r="E315">
        <v>40.6</v>
      </c>
      <c r="F315">
        <v>10</v>
      </c>
      <c r="G315" s="14">
        <f>Stress_And_Productivity_1[[#This Row],[stress_level_0_10]]*10</f>
        <v>100</v>
      </c>
    </row>
    <row r="316" spans="1:7" x14ac:dyDescent="0.3">
      <c r="A316" t="s">
        <v>345</v>
      </c>
      <c r="B316">
        <v>28</v>
      </c>
      <c r="C316" t="s">
        <v>16</v>
      </c>
      <c r="D316" t="s">
        <v>20</v>
      </c>
      <c r="E316">
        <v>40.799999999999997</v>
      </c>
      <c r="F316">
        <v>10</v>
      </c>
      <c r="G316" s="14">
        <f>Stress_And_Productivity_1[[#This Row],[stress_level_0_10]]*10</f>
        <v>100</v>
      </c>
    </row>
    <row r="317" spans="1:7" x14ac:dyDescent="0.3">
      <c r="A317" t="s">
        <v>346</v>
      </c>
      <c r="B317">
        <v>30</v>
      </c>
      <c r="C317" t="s">
        <v>16</v>
      </c>
      <c r="D317" t="s">
        <v>18</v>
      </c>
      <c r="E317">
        <v>43.6</v>
      </c>
      <c r="F317">
        <v>10</v>
      </c>
      <c r="G317" s="14">
        <f>Stress_And_Productivity_1[[#This Row],[stress_level_0_10]]*10</f>
        <v>100</v>
      </c>
    </row>
    <row r="318" spans="1:7" x14ac:dyDescent="0.3">
      <c r="A318" t="s">
        <v>347</v>
      </c>
      <c r="B318">
        <v>34</v>
      </c>
      <c r="C318" t="s">
        <v>28</v>
      </c>
      <c r="D318" t="s">
        <v>20</v>
      </c>
      <c r="E318">
        <v>63.7</v>
      </c>
      <c r="F318">
        <v>6.2</v>
      </c>
      <c r="G318" s="14">
        <f>Stress_And_Productivity_1[[#This Row],[stress_level_0_10]]*10</f>
        <v>62</v>
      </c>
    </row>
    <row r="319" spans="1:7" x14ac:dyDescent="0.3">
      <c r="A319" t="s">
        <v>348</v>
      </c>
      <c r="B319">
        <v>23</v>
      </c>
      <c r="C319" t="s">
        <v>16</v>
      </c>
      <c r="D319" t="s">
        <v>20</v>
      </c>
      <c r="E319">
        <v>88.8</v>
      </c>
      <c r="F319">
        <v>3</v>
      </c>
      <c r="G319" s="14">
        <f>Stress_And_Productivity_1[[#This Row],[stress_level_0_10]]*10</f>
        <v>30</v>
      </c>
    </row>
    <row r="320" spans="1:7" x14ac:dyDescent="0.3">
      <c r="A320" t="s">
        <v>349</v>
      </c>
      <c r="B320">
        <v>46</v>
      </c>
      <c r="C320" t="s">
        <v>24</v>
      </c>
      <c r="D320" t="s">
        <v>20</v>
      </c>
      <c r="E320">
        <v>54.7</v>
      </c>
      <c r="F320">
        <v>7.7</v>
      </c>
      <c r="G320" s="14">
        <f>Stress_And_Productivity_1[[#This Row],[stress_level_0_10]]*10</f>
        <v>77</v>
      </c>
    </row>
    <row r="321" spans="1:7" x14ac:dyDescent="0.3">
      <c r="A321" t="s">
        <v>350</v>
      </c>
      <c r="B321">
        <v>21</v>
      </c>
      <c r="C321" t="s">
        <v>16</v>
      </c>
      <c r="D321" t="s">
        <v>18</v>
      </c>
      <c r="E321">
        <v>40.799999999999997</v>
      </c>
      <c r="F321">
        <v>8.5</v>
      </c>
      <c r="G321" s="14">
        <f>Stress_And_Productivity_1[[#This Row],[stress_level_0_10]]*10</f>
        <v>85</v>
      </c>
    </row>
    <row r="322" spans="1:7" x14ac:dyDescent="0.3">
      <c r="A322" t="s">
        <v>351</v>
      </c>
      <c r="B322">
        <v>20</v>
      </c>
      <c r="C322" t="s">
        <v>24</v>
      </c>
      <c r="D322" t="s">
        <v>22</v>
      </c>
      <c r="E322">
        <v>49.5</v>
      </c>
      <c r="F322">
        <v>8.6999999999999993</v>
      </c>
      <c r="G322" s="14">
        <f>Stress_And_Productivity_1[[#This Row],[stress_level_0_10]]*10</f>
        <v>87</v>
      </c>
    </row>
    <row r="323" spans="1:7" x14ac:dyDescent="0.3">
      <c r="A323" t="s">
        <v>352</v>
      </c>
      <c r="B323">
        <v>39</v>
      </c>
      <c r="C323" t="s">
        <v>16</v>
      </c>
      <c r="D323" t="s">
        <v>18</v>
      </c>
      <c r="E323">
        <v>52.5</v>
      </c>
      <c r="F323">
        <v>8.1999999999999993</v>
      </c>
      <c r="G323" s="14">
        <f>Stress_And_Productivity_1[[#This Row],[stress_level_0_10]]*10</f>
        <v>82</v>
      </c>
    </row>
    <row r="324" spans="1:7" x14ac:dyDescent="0.3">
      <c r="A324" t="s">
        <v>353</v>
      </c>
      <c r="B324">
        <v>36</v>
      </c>
      <c r="C324" t="s">
        <v>24</v>
      </c>
      <c r="D324" t="s">
        <v>18</v>
      </c>
      <c r="E324">
        <v>84</v>
      </c>
      <c r="F324">
        <v>3.1</v>
      </c>
      <c r="G324" s="14">
        <f>Stress_And_Productivity_1[[#This Row],[stress_level_0_10]]*10</f>
        <v>31</v>
      </c>
    </row>
    <row r="325" spans="1:7" x14ac:dyDescent="0.3">
      <c r="A325" t="s">
        <v>354</v>
      </c>
      <c r="B325">
        <v>34</v>
      </c>
      <c r="C325" t="s">
        <v>16</v>
      </c>
      <c r="D325" t="s">
        <v>18</v>
      </c>
      <c r="E325">
        <v>40.5</v>
      </c>
      <c r="F325">
        <v>10</v>
      </c>
      <c r="G325" s="14">
        <f>Stress_And_Productivity_1[[#This Row],[stress_level_0_10]]*10</f>
        <v>100</v>
      </c>
    </row>
    <row r="326" spans="1:7" x14ac:dyDescent="0.3">
      <c r="A326" t="s">
        <v>355</v>
      </c>
      <c r="B326">
        <v>35</v>
      </c>
      <c r="C326" t="s">
        <v>16</v>
      </c>
      <c r="D326" t="s">
        <v>20</v>
      </c>
      <c r="E326">
        <v>64</v>
      </c>
      <c r="F326">
        <v>8</v>
      </c>
      <c r="G326" s="14">
        <f>Stress_And_Productivity_1[[#This Row],[stress_level_0_10]]*10</f>
        <v>80</v>
      </c>
    </row>
    <row r="327" spans="1:7" x14ac:dyDescent="0.3">
      <c r="A327" t="s">
        <v>356</v>
      </c>
      <c r="B327">
        <v>29</v>
      </c>
      <c r="C327" t="s">
        <v>16</v>
      </c>
      <c r="D327" t="s">
        <v>18</v>
      </c>
      <c r="E327">
        <v>38.4</v>
      </c>
      <c r="F327">
        <v>10</v>
      </c>
      <c r="G327" s="14">
        <f>Stress_And_Productivity_1[[#This Row],[stress_level_0_10]]*10</f>
        <v>100</v>
      </c>
    </row>
    <row r="328" spans="1:7" x14ac:dyDescent="0.3">
      <c r="A328" t="s">
        <v>357</v>
      </c>
      <c r="B328">
        <v>22</v>
      </c>
      <c r="C328" t="s">
        <v>16</v>
      </c>
      <c r="D328" t="s">
        <v>22</v>
      </c>
      <c r="E328">
        <v>62.5</v>
      </c>
      <c r="F328">
        <v>8.1</v>
      </c>
      <c r="G328" s="14">
        <f>Stress_And_Productivity_1[[#This Row],[stress_level_0_10]]*10</f>
        <v>81</v>
      </c>
    </row>
    <row r="329" spans="1:7" x14ac:dyDescent="0.3">
      <c r="A329" t="s">
        <v>358</v>
      </c>
      <c r="B329">
        <v>30</v>
      </c>
      <c r="C329" t="s">
        <v>24</v>
      </c>
      <c r="D329" t="s">
        <v>18</v>
      </c>
      <c r="E329">
        <v>57.4</v>
      </c>
      <c r="F329">
        <v>8.1999999999999993</v>
      </c>
      <c r="G329" s="14">
        <f>Stress_And_Productivity_1[[#This Row],[stress_level_0_10]]*10</f>
        <v>82</v>
      </c>
    </row>
    <row r="330" spans="1:7" x14ac:dyDescent="0.3">
      <c r="A330" t="s">
        <v>359</v>
      </c>
      <c r="B330">
        <v>24</v>
      </c>
      <c r="C330" t="s">
        <v>16</v>
      </c>
      <c r="D330" t="s">
        <v>22</v>
      </c>
      <c r="E330">
        <v>47.5</v>
      </c>
      <c r="F330">
        <v>10</v>
      </c>
      <c r="G330" s="14">
        <f>Stress_And_Productivity_1[[#This Row],[stress_level_0_10]]*10</f>
        <v>100</v>
      </c>
    </row>
    <row r="331" spans="1:7" x14ac:dyDescent="0.3">
      <c r="A331" t="s">
        <v>360</v>
      </c>
      <c r="B331">
        <v>37</v>
      </c>
      <c r="C331" t="s">
        <v>24</v>
      </c>
      <c r="D331" t="s">
        <v>22</v>
      </c>
      <c r="E331">
        <v>53.8</v>
      </c>
      <c r="F331">
        <v>7.8</v>
      </c>
      <c r="G331" s="14">
        <f>Stress_And_Productivity_1[[#This Row],[stress_level_0_10]]*10</f>
        <v>78</v>
      </c>
    </row>
    <row r="332" spans="1:7" x14ac:dyDescent="0.3">
      <c r="A332" t="s">
        <v>361</v>
      </c>
      <c r="B332">
        <v>28</v>
      </c>
      <c r="C332" t="s">
        <v>16</v>
      </c>
      <c r="D332" t="s">
        <v>22</v>
      </c>
      <c r="E332">
        <v>44.8</v>
      </c>
      <c r="F332">
        <v>10</v>
      </c>
      <c r="G332" s="14">
        <f>Stress_And_Productivity_1[[#This Row],[stress_level_0_10]]*10</f>
        <v>100</v>
      </c>
    </row>
    <row r="333" spans="1:7" x14ac:dyDescent="0.3">
      <c r="A333" t="s">
        <v>362</v>
      </c>
      <c r="B333">
        <v>23</v>
      </c>
      <c r="C333" t="s">
        <v>24</v>
      </c>
      <c r="D333" t="s">
        <v>20</v>
      </c>
      <c r="E333">
        <v>31.4</v>
      </c>
      <c r="F333">
        <v>9.6999999999999993</v>
      </c>
      <c r="G333" s="14">
        <f>Stress_And_Productivity_1[[#This Row],[stress_level_0_10]]*10</f>
        <v>97</v>
      </c>
    </row>
    <row r="334" spans="1:7" x14ac:dyDescent="0.3">
      <c r="A334" t="s">
        <v>363</v>
      </c>
      <c r="B334">
        <v>27</v>
      </c>
      <c r="C334" t="s">
        <v>16</v>
      </c>
      <c r="D334" t="s">
        <v>22</v>
      </c>
      <c r="E334">
        <v>39.1</v>
      </c>
      <c r="F334">
        <v>10</v>
      </c>
      <c r="G334" s="14">
        <f>Stress_And_Productivity_1[[#This Row],[stress_level_0_10]]*10</f>
        <v>100</v>
      </c>
    </row>
    <row r="335" spans="1:7" x14ac:dyDescent="0.3">
      <c r="A335" t="s">
        <v>364</v>
      </c>
      <c r="B335">
        <v>33</v>
      </c>
      <c r="C335" t="s">
        <v>16</v>
      </c>
      <c r="D335" t="s">
        <v>20</v>
      </c>
      <c r="E335">
        <v>62.5</v>
      </c>
      <c r="F335">
        <v>8.3000000000000007</v>
      </c>
      <c r="G335" s="14">
        <f>Stress_And_Productivity_1[[#This Row],[stress_level_0_10]]*10</f>
        <v>83</v>
      </c>
    </row>
    <row r="336" spans="1:7" x14ac:dyDescent="0.3">
      <c r="A336" t="s">
        <v>365</v>
      </c>
      <c r="B336">
        <v>25</v>
      </c>
      <c r="C336" t="s">
        <v>24</v>
      </c>
      <c r="D336" t="s">
        <v>20</v>
      </c>
      <c r="E336">
        <v>46.3</v>
      </c>
      <c r="F336">
        <v>8.8000000000000007</v>
      </c>
      <c r="G336" s="14">
        <f>Stress_And_Productivity_1[[#This Row],[stress_level_0_10]]*10</f>
        <v>88</v>
      </c>
    </row>
    <row r="337" spans="1:7" x14ac:dyDescent="0.3">
      <c r="A337" t="s">
        <v>366</v>
      </c>
      <c r="B337">
        <v>23</v>
      </c>
      <c r="C337" t="s">
        <v>16</v>
      </c>
      <c r="D337" t="s">
        <v>18</v>
      </c>
      <c r="E337">
        <v>38.4</v>
      </c>
      <c r="F337">
        <v>9.9</v>
      </c>
      <c r="G337" s="14">
        <f>Stress_And_Productivity_1[[#This Row],[stress_level_0_10]]*10</f>
        <v>99</v>
      </c>
    </row>
    <row r="338" spans="1:7" x14ac:dyDescent="0.3">
      <c r="A338" t="s">
        <v>367</v>
      </c>
      <c r="B338">
        <v>31</v>
      </c>
      <c r="C338" t="s">
        <v>16</v>
      </c>
      <c r="D338" t="s">
        <v>20</v>
      </c>
      <c r="E338">
        <v>54.5</v>
      </c>
      <c r="F338">
        <v>8.6</v>
      </c>
      <c r="G338" s="14">
        <f>Stress_And_Productivity_1[[#This Row],[stress_level_0_10]]*10</f>
        <v>86</v>
      </c>
    </row>
    <row r="339" spans="1:7" x14ac:dyDescent="0.3">
      <c r="A339" t="s">
        <v>368</v>
      </c>
      <c r="B339">
        <v>31</v>
      </c>
      <c r="C339" t="s">
        <v>24</v>
      </c>
      <c r="D339" t="s">
        <v>18</v>
      </c>
      <c r="E339">
        <v>57.1</v>
      </c>
      <c r="F339">
        <v>8.1999999999999993</v>
      </c>
      <c r="G339" s="14">
        <f>Stress_And_Productivity_1[[#This Row],[stress_level_0_10]]*10</f>
        <v>82</v>
      </c>
    </row>
    <row r="340" spans="1:7" x14ac:dyDescent="0.3">
      <c r="A340" t="s">
        <v>369</v>
      </c>
      <c r="B340">
        <v>25</v>
      </c>
      <c r="C340" t="s">
        <v>24</v>
      </c>
      <c r="D340" t="s">
        <v>20</v>
      </c>
      <c r="E340">
        <v>67.099999999999994</v>
      </c>
      <c r="F340">
        <v>5.3</v>
      </c>
      <c r="G340" s="14">
        <f>Stress_And_Productivity_1[[#This Row],[stress_level_0_10]]*10</f>
        <v>53</v>
      </c>
    </row>
    <row r="341" spans="1:7" x14ac:dyDescent="0.3">
      <c r="A341" t="s">
        <v>370</v>
      </c>
      <c r="B341">
        <v>26</v>
      </c>
      <c r="C341" t="s">
        <v>16</v>
      </c>
      <c r="D341" t="s">
        <v>22</v>
      </c>
      <c r="E341">
        <v>67.5</v>
      </c>
      <c r="F341">
        <v>6.8</v>
      </c>
      <c r="G341" s="14">
        <f>Stress_And_Productivity_1[[#This Row],[stress_level_0_10]]*10</f>
        <v>68</v>
      </c>
    </row>
    <row r="342" spans="1:7" x14ac:dyDescent="0.3">
      <c r="A342" t="s">
        <v>371</v>
      </c>
      <c r="B342">
        <v>31</v>
      </c>
      <c r="C342" t="s">
        <v>16</v>
      </c>
      <c r="D342" t="s">
        <v>20</v>
      </c>
      <c r="E342">
        <v>58.2</v>
      </c>
      <c r="F342">
        <v>10</v>
      </c>
      <c r="G342" s="14">
        <f>Stress_And_Productivity_1[[#This Row],[stress_level_0_10]]*10</f>
        <v>100</v>
      </c>
    </row>
    <row r="343" spans="1:7" x14ac:dyDescent="0.3">
      <c r="A343" t="s">
        <v>372</v>
      </c>
      <c r="B343">
        <v>18</v>
      </c>
      <c r="C343" t="s">
        <v>24</v>
      </c>
      <c r="D343" t="s">
        <v>20</v>
      </c>
      <c r="E343">
        <v>58.6</v>
      </c>
      <c r="F343">
        <v>9</v>
      </c>
      <c r="G343" s="14">
        <f>Stress_And_Productivity_1[[#This Row],[stress_level_0_10]]*10</f>
        <v>90</v>
      </c>
    </row>
    <row r="344" spans="1:7" x14ac:dyDescent="0.3">
      <c r="A344" t="s">
        <v>373</v>
      </c>
      <c r="B344">
        <v>18</v>
      </c>
      <c r="C344" t="s">
        <v>16</v>
      </c>
      <c r="D344" t="s">
        <v>20</v>
      </c>
      <c r="E344">
        <v>61.3</v>
      </c>
      <c r="F344">
        <v>7.4</v>
      </c>
      <c r="G344" s="14">
        <f>Stress_And_Productivity_1[[#This Row],[stress_level_0_10]]*10</f>
        <v>74</v>
      </c>
    </row>
    <row r="345" spans="1:7" x14ac:dyDescent="0.3">
      <c r="A345" t="s">
        <v>374</v>
      </c>
      <c r="B345">
        <v>24</v>
      </c>
      <c r="C345" t="s">
        <v>16</v>
      </c>
      <c r="D345" t="s">
        <v>20</v>
      </c>
      <c r="E345">
        <v>58.6</v>
      </c>
      <c r="F345">
        <v>8</v>
      </c>
      <c r="G345" s="14">
        <f>Stress_And_Productivity_1[[#This Row],[stress_level_0_10]]*10</f>
        <v>80</v>
      </c>
    </row>
    <row r="346" spans="1:7" x14ac:dyDescent="0.3">
      <c r="A346" t="s">
        <v>375</v>
      </c>
      <c r="B346">
        <v>28</v>
      </c>
      <c r="C346" t="s">
        <v>16</v>
      </c>
      <c r="D346" t="s">
        <v>18</v>
      </c>
      <c r="E346">
        <v>43.7</v>
      </c>
      <c r="F346">
        <v>10</v>
      </c>
      <c r="G346" s="14">
        <f>Stress_And_Productivity_1[[#This Row],[stress_level_0_10]]*10</f>
        <v>100</v>
      </c>
    </row>
    <row r="347" spans="1:7" x14ac:dyDescent="0.3">
      <c r="A347" t="s">
        <v>376</v>
      </c>
      <c r="B347">
        <v>32</v>
      </c>
      <c r="C347" t="s">
        <v>24</v>
      </c>
      <c r="D347" t="s">
        <v>18</v>
      </c>
      <c r="E347">
        <v>23.2</v>
      </c>
      <c r="F347">
        <v>10</v>
      </c>
      <c r="G347" s="14">
        <f>Stress_And_Productivity_1[[#This Row],[stress_level_0_10]]*10</f>
        <v>100</v>
      </c>
    </row>
    <row r="348" spans="1:7" x14ac:dyDescent="0.3">
      <c r="A348" t="s">
        <v>378</v>
      </c>
      <c r="B348">
        <v>36</v>
      </c>
      <c r="C348" t="s">
        <v>16</v>
      </c>
      <c r="D348" t="s">
        <v>18</v>
      </c>
      <c r="E348">
        <v>34.1</v>
      </c>
      <c r="F348">
        <v>10</v>
      </c>
      <c r="G348" s="14">
        <f>Stress_And_Productivity_1[[#This Row],[stress_level_0_10]]*10</f>
        <v>100</v>
      </c>
    </row>
    <row r="349" spans="1:7" x14ac:dyDescent="0.3">
      <c r="A349" t="s">
        <v>379</v>
      </c>
      <c r="B349">
        <v>28</v>
      </c>
      <c r="C349" t="s">
        <v>16</v>
      </c>
      <c r="D349" t="s">
        <v>22</v>
      </c>
      <c r="E349">
        <v>39.799999999999997</v>
      </c>
      <c r="F349">
        <v>9.1</v>
      </c>
      <c r="G349" s="14">
        <f>Stress_And_Productivity_1[[#This Row],[stress_level_0_10]]*10</f>
        <v>91</v>
      </c>
    </row>
    <row r="350" spans="1:7" x14ac:dyDescent="0.3">
      <c r="A350" t="s">
        <v>380</v>
      </c>
      <c r="B350">
        <v>29</v>
      </c>
      <c r="C350" t="s">
        <v>16</v>
      </c>
      <c r="D350" t="s">
        <v>22</v>
      </c>
      <c r="E350">
        <v>41.1</v>
      </c>
      <c r="F350">
        <v>8.8000000000000007</v>
      </c>
      <c r="G350" s="14">
        <f>Stress_And_Productivity_1[[#This Row],[stress_level_0_10]]*10</f>
        <v>88</v>
      </c>
    </row>
    <row r="351" spans="1:7" x14ac:dyDescent="0.3">
      <c r="A351" t="s">
        <v>381</v>
      </c>
      <c r="B351">
        <v>21</v>
      </c>
      <c r="C351" t="s">
        <v>24</v>
      </c>
      <c r="D351" t="s">
        <v>20</v>
      </c>
      <c r="E351">
        <v>47.3</v>
      </c>
      <c r="F351">
        <v>7.1</v>
      </c>
      <c r="G351" s="14">
        <f>Stress_And_Productivity_1[[#This Row],[stress_level_0_10]]*10</f>
        <v>71</v>
      </c>
    </row>
    <row r="352" spans="1:7" x14ac:dyDescent="0.3">
      <c r="A352" t="s">
        <v>382</v>
      </c>
      <c r="B352">
        <v>29</v>
      </c>
      <c r="C352" t="s">
        <v>16</v>
      </c>
      <c r="D352" t="s">
        <v>22</v>
      </c>
      <c r="E352">
        <v>39.700000000000003</v>
      </c>
      <c r="F352">
        <v>10</v>
      </c>
      <c r="G352" s="14">
        <f>Stress_And_Productivity_1[[#This Row],[stress_level_0_10]]*10</f>
        <v>100</v>
      </c>
    </row>
    <row r="353" spans="1:7" x14ac:dyDescent="0.3">
      <c r="A353" t="s">
        <v>383</v>
      </c>
      <c r="B353">
        <v>27</v>
      </c>
      <c r="C353" t="s">
        <v>16</v>
      </c>
      <c r="D353" t="s">
        <v>20</v>
      </c>
      <c r="E353">
        <v>63</v>
      </c>
      <c r="F353">
        <v>7.4</v>
      </c>
      <c r="G353" s="14">
        <f>Stress_And_Productivity_1[[#This Row],[stress_level_0_10]]*10</f>
        <v>74</v>
      </c>
    </row>
    <row r="354" spans="1:7" x14ac:dyDescent="0.3">
      <c r="A354" t="s">
        <v>384</v>
      </c>
      <c r="B354">
        <v>32</v>
      </c>
      <c r="C354" t="s">
        <v>24</v>
      </c>
      <c r="D354" t="s">
        <v>18</v>
      </c>
      <c r="E354">
        <v>84.8</v>
      </c>
      <c r="F354">
        <v>4.3</v>
      </c>
      <c r="G354" s="14">
        <f>Stress_And_Productivity_1[[#This Row],[stress_level_0_10]]*10</f>
        <v>43</v>
      </c>
    </row>
    <row r="355" spans="1:7" x14ac:dyDescent="0.3">
      <c r="A355" t="s">
        <v>385</v>
      </c>
      <c r="B355">
        <v>23</v>
      </c>
      <c r="C355" t="s">
        <v>16</v>
      </c>
      <c r="D355" t="s">
        <v>20</v>
      </c>
      <c r="E355">
        <v>46</v>
      </c>
      <c r="F355">
        <v>9.5</v>
      </c>
      <c r="G355" s="14">
        <f>Stress_And_Productivity_1[[#This Row],[stress_level_0_10]]*10</f>
        <v>95</v>
      </c>
    </row>
    <row r="356" spans="1:7" x14ac:dyDescent="0.3">
      <c r="A356" t="s">
        <v>386</v>
      </c>
      <c r="B356">
        <v>34</v>
      </c>
      <c r="C356" t="s">
        <v>24</v>
      </c>
      <c r="D356" t="s">
        <v>20</v>
      </c>
      <c r="E356">
        <v>36.9</v>
      </c>
      <c r="F356">
        <v>10</v>
      </c>
      <c r="G356" s="14">
        <f>Stress_And_Productivity_1[[#This Row],[stress_level_0_10]]*10</f>
        <v>100</v>
      </c>
    </row>
    <row r="357" spans="1:7" x14ac:dyDescent="0.3">
      <c r="A357" t="s">
        <v>387</v>
      </c>
      <c r="B357">
        <v>42</v>
      </c>
      <c r="C357" t="s">
        <v>16</v>
      </c>
      <c r="D357" t="s">
        <v>22</v>
      </c>
      <c r="E357">
        <v>67.8</v>
      </c>
      <c r="F357">
        <v>3.8</v>
      </c>
      <c r="G357" s="14">
        <f>Stress_And_Productivity_1[[#This Row],[stress_level_0_10]]*10</f>
        <v>38</v>
      </c>
    </row>
    <row r="358" spans="1:7" x14ac:dyDescent="0.3">
      <c r="A358" t="s">
        <v>388</v>
      </c>
      <c r="B358">
        <v>29</v>
      </c>
      <c r="C358" t="s">
        <v>16</v>
      </c>
      <c r="D358" t="s">
        <v>22</v>
      </c>
      <c r="E358">
        <v>30.2</v>
      </c>
      <c r="F358">
        <v>10</v>
      </c>
      <c r="G358" s="14">
        <f>Stress_And_Productivity_1[[#This Row],[stress_level_0_10]]*10</f>
        <v>100</v>
      </c>
    </row>
    <row r="359" spans="1:7" x14ac:dyDescent="0.3">
      <c r="A359" t="s">
        <v>389</v>
      </c>
      <c r="B359">
        <v>33</v>
      </c>
      <c r="C359" t="s">
        <v>16</v>
      </c>
      <c r="D359" t="s">
        <v>20</v>
      </c>
      <c r="E359">
        <v>34.799999999999997</v>
      </c>
      <c r="F359">
        <v>10</v>
      </c>
      <c r="G359" s="14">
        <f>Stress_And_Productivity_1[[#This Row],[stress_level_0_10]]*10</f>
        <v>100</v>
      </c>
    </row>
    <row r="360" spans="1:7" x14ac:dyDescent="0.3">
      <c r="A360" t="s">
        <v>390</v>
      </c>
      <c r="B360">
        <v>35</v>
      </c>
      <c r="C360" t="s">
        <v>24</v>
      </c>
      <c r="D360" t="s">
        <v>18</v>
      </c>
      <c r="E360">
        <v>39.6</v>
      </c>
      <c r="F360">
        <v>10</v>
      </c>
      <c r="G360" s="14">
        <f>Stress_And_Productivity_1[[#This Row],[stress_level_0_10]]*10</f>
        <v>100</v>
      </c>
    </row>
    <row r="361" spans="1:7" x14ac:dyDescent="0.3">
      <c r="A361" t="s">
        <v>391</v>
      </c>
      <c r="B361">
        <v>26</v>
      </c>
      <c r="C361" t="s">
        <v>24</v>
      </c>
      <c r="D361" t="s">
        <v>18</v>
      </c>
      <c r="E361">
        <v>52.1</v>
      </c>
      <c r="F361">
        <v>9.9</v>
      </c>
      <c r="G361" s="14">
        <f>Stress_And_Productivity_1[[#This Row],[stress_level_0_10]]*10</f>
        <v>99</v>
      </c>
    </row>
    <row r="362" spans="1:7" x14ac:dyDescent="0.3">
      <c r="A362" t="s">
        <v>392</v>
      </c>
      <c r="B362">
        <v>31</v>
      </c>
      <c r="C362" t="s">
        <v>24</v>
      </c>
      <c r="D362" t="s">
        <v>22</v>
      </c>
      <c r="E362">
        <v>51.9</v>
      </c>
      <c r="F362">
        <v>7.1</v>
      </c>
      <c r="G362" s="14">
        <f>Stress_And_Productivity_1[[#This Row],[stress_level_0_10]]*10</f>
        <v>71</v>
      </c>
    </row>
    <row r="363" spans="1:7" x14ac:dyDescent="0.3">
      <c r="A363" t="s">
        <v>393</v>
      </c>
      <c r="B363">
        <v>30</v>
      </c>
      <c r="C363" t="s">
        <v>16</v>
      </c>
      <c r="D363" t="s">
        <v>18</v>
      </c>
      <c r="E363">
        <v>48.6</v>
      </c>
      <c r="F363">
        <v>10</v>
      </c>
      <c r="G363" s="14">
        <f>Stress_And_Productivity_1[[#This Row],[stress_level_0_10]]*10</f>
        <v>100</v>
      </c>
    </row>
    <row r="364" spans="1:7" x14ac:dyDescent="0.3">
      <c r="A364" t="s">
        <v>394</v>
      </c>
      <c r="B364">
        <v>30</v>
      </c>
      <c r="C364" t="s">
        <v>24</v>
      </c>
      <c r="D364" t="s">
        <v>18</v>
      </c>
      <c r="E364">
        <v>63.3</v>
      </c>
      <c r="F364">
        <v>6.8</v>
      </c>
      <c r="G364" s="14">
        <f>Stress_And_Productivity_1[[#This Row],[stress_level_0_10]]*10</f>
        <v>68</v>
      </c>
    </row>
    <row r="365" spans="1:7" x14ac:dyDescent="0.3">
      <c r="A365" t="s">
        <v>395</v>
      </c>
      <c r="B365">
        <v>23</v>
      </c>
      <c r="C365" t="s">
        <v>16</v>
      </c>
      <c r="D365" t="s">
        <v>18</v>
      </c>
      <c r="E365">
        <v>54.9</v>
      </c>
      <c r="F365">
        <v>7.4</v>
      </c>
      <c r="G365" s="14">
        <f>Stress_And_Productivity_1[[#This Row],[stress_level_0_10]]*10</f>
        <v>74</v>
      </c>
    </row>
    <row r="366" spans="1:7" x14ac:dyDescent="0.3">
      <c r="A366" t="s">
        <v>396</v>
      </c>
      <c r="B366">
        <v>30</v>
      </c>
      <c r="C366" t="s">
        <v>16</v>
      </c>
      <c r="D366" t="s">
        <v>18</v>
      </c>
      <c r="E366">
        <v>46.8</v>
      </c>
      <c r="F366">
        <v>10</v>
      </c>
      <c r="G366" s="14">
        <f>Stress_And_Productivity_1[[#This Row],[stress_level_0_10]]*10</f>
        <v>100</v>
      </c>
    </row>
    <row r="367" spans="1:7" x14ac:dyDescent="0.3">
      <c r="A367" t="s">
        <v>397</v>
      </c>
      <c r="B367">
        <v>33</v>
      </c>
      <c r="C367" t="s">
        <v>24</v>
      </c>
      <c r="D367" t="s">
        <v>18</v>
      </c>
      <c r="E367">
        <v>34.1</v>
      </c>
      <c r="F367">
        <v>10</v>
      </c>
      <c r="G367" s="14">
        <f>Stress_And_Productivity_1[[#This Row],[stress_level_0_10]]*10</f>
        <v>100</v>
      </c>
    </row>
    <row r="368" spans="1:7" x14ac:dyDescent="0.3">
      <c r="A368" t="s">
        <v>398</v>
      </c>
      <c r="B368">
        <v>41</v>
      </c>
      <c r="C368" t="s">
        <v>16</v>
      </c>
      <c r="D368" t="s">
        <v>20</v>
      </c>
      <c r="E368">
        <v>45</v>
      </c>
      <c r="F368">
        <v>10</v>
      </c>
      <c r="G368" s="14">
        <f>Stress_And_Productivity_1[[#This Row],[stress_level_0_10]]*10</f>
        <v>100</v>
      </c>
    </row>
    <row r="369" spans="1:7" x14ac:dyDescent="0.3">
      <c r="A369" t="s">
        <v>399</v>
      </c>
      <c r="B369">
        <v>37</v>
      </c>
      <c r="C369" t="s">
        <v>16</v>
      </c>
      <c r="D369" t="s">
        <v>22</v>
      </c>
      <c r="E369">
        <v>72.5</v>
      </c>
      <c r="F369">
        <v>5.6</v>
      </c>
      <c r="G369" s="14">
        <f>Stress_And_Productivity_1[[#This Row],[stress_level_0_10]]*10</f>
        <v>56</v>
      </c>
    </row>
    <row r="370" spans="1:7" x14ac:dyDescent="0.3">
      <c r="A370" t="s">
        <v>400</v>
      </c>
      <c r="B370">
        <v>47</v>
      </c>
      <c r="C370" t="s">
        <v>16</v>
      </c>
      <c r="D370" t="s">
        <v>20</v>
      </c>
      <c r="E370">
        <v>44.3</v>
      </c>
      <c r="F370">
        <v>10</v>
      </c>
      <c r="G370" s="14">
        <f>Stress_And_Productivity_1[[#This Row],[stress_level_0_10]]*10</f>
        <v>100</v>
      </c>
    </row>
    <row r="371" spans="1:7" x14ac:dyDescent="0.3">
      <c r="A371" t="s">
        <v>401</v>
      </c>
      <c r="B371">
        <v>23</v>
      </c>
      <c r="C371" t="s">
        <v>16</v>
      </c>
      <c r="D371" t="s">
        <v>22</v>
      </c>
      <c r="E371">
        <v>56</v>
      </c>
      <c r="F371">
        <v>8</v>
      </c>
      <c r="G371" s="14">
        <f>Stress_And_Productivity_1[[#This Row],[stress_level_0_10]]*10</f>
        <v>80</v>
      </c>
    </row>
    <row r="372" spans="1:7" x14ac:dyDescent="0.3">
      <c r="A372" t="s">
        <v>402</v>
      </c>
      <c r="B372">
        <v>36</v>
      </c>
      <c r="C372" t="s">
        <v>16</v>
      </c>
      <c r="D372" t="s">
        <v>18</v>
      </c>
      <c r="E372">
        <v>59.1</v>
      </c>
      <c r="F372">
        <v>8.1999999999999993</v>
      </c>
      <c r="G372" s="14">
        <f>Stress_And_Productivity_1[[#This Row],[stress_level_0_10]]*10</f>
        <v>82</v>
      </c>
    </row>
    <row r="373" spans="1:7" x14ac:dyDescent="0.3">
      <c r="A373" t="s">
        <v>403</v>
      </c>
      <c r="B373">
        <v>31</v>
      </c>
      <c r="C373" t="s">
        <v>24</v>
      </c>
      <c r="D373" t="s">
        <v>22</v>
      </c>
      <c r="E373">
        <v>76.5</v>
      </c>
      <c r="F373">
        <v>3.2</v>
      </c>
      <c r="G373" s="14">
        <f>Stress_And_Productivity_1[[#This Row],[stress_level_0_10]]*10</f>
        <v>32</v>
      </c>
    </row>
    <row r="374" spans="1:7" x14ac:dyDescent="0.3">
      <c r="A374" t="s">
        <v>404</v>
      </c>
      <c r="B374">
        <v>47</v>
      </c>
      <c r="C374" t="s">
        <v>16</v>
      </c>
      <c r="D374" t="s">
        <v>22</v>
      </c>
      <c r="E374">
        <v>63</v>
      </c>
      <c r="F374">
        <v>6.6</v>
      </c>
      <c r="G374" s="14">
        <f>Stress_And_Productivity_1[[#This Row],[stress_level_0_10]]*10</f>
        <v>66</v>
      </c>
    </row>
    <row r="375" spans="1:7" x14ac:dyDescent="0.3">
      <c r="A375" t="s">
        <v>405</v>
      </c>
      <c r="B375">
        <v>23</v>
      </c>
      <c r="C375" t="s">
        <v>24</v>
      </c>
      <c r="D375" t="s">
        <v>18</v>
      </c>
      <c r="E375">
        <v>56.5</v>
      </c>
      <c r="F375">
        <v>8.6999999999999993</v>
      </c>
      <c r="G375" s="14">
        <f>Stress_And_Productivity_1[[#This Row],[stress_level_0_10]]*10</f>
        <v>87</v>
      </c>
    </row>
    <row r="376" spans="1:7" x14ac:dyDescent="0.3">
      <c r="A376" t="s">
        <v>406</v>
      </c>
      <c r="B376">
        <v>23</v>
      </c>
      <c r="C376" t="s">
        <v>24</v>
      </c>
      <c r="D376" t="s">
        <v>22</v>
      </c>
      <c r="E376">
        <v>47.3</v>
      </c>
      <c r="F376">
        <v>10</v>
      </c>
      <c r="G376" s="14">
        <f>Stress_And_Productivity_1[[#This Row],[stress_level_0_10]]*10</f>
        <v>100</v>
      </c>
    </row>
    <row r="377" spans="1:7" x14ac:dyDescent="0.3">
      <c r="A377" t="s">
        <v>407</v>
      </c>
      <c r="B377">
        <v>25</v>
      </c>
      <c r="C377" t="s">
        <v>16</v>
      </c>
      <c r="D377" t="s">
        <v>18</v>
      </c>
      <c r="E377">
        <v>40.4</v>
      </c>
      <c r="F377">
        <v>10</v>
      </c>
      <c r="G377" s="14">
        <f>Stress_And_Productivity_1[[#This Row],[stress_level_0_10]]*10</f>
        <v>100</v>
      </c>
    </row>
    <row r="378" spans="1:7" x14ac:dyDescent="0.3">
      <c r="A378" t="s">
        <v>408</v>
      </c>
      <c r="B378">
        <v>16</v>
      </c>
      <c r="C378" t="s">
        <v>16</v>
      </c>
      <c r="D378" t="s">
        <v>22</v>
      </c>
      <c r="E378">
        <v>81</v>
      </c>
      <c r="F378">
        <v>4.9000000000000004</v>
      </c>
      <c r="G378" s="14">
        <f>Stress_And_Productivity_1[[#This Row],[stress_level_0_10]]*10</f>
        <v>49</v>
      </c>
    </row>
    <row r="379" spans="1:7" x14ac:dyDescent="0.3">
      <c r="A379" t="s">
        <v>410</v>
      </c>
      <c r="B379">
        <v>23</v>
      </c>
      <c r="C379" t="s">
        <v>24</v>
      </c>
      <c r="D379" t="s">
        <v>18</v>
      </c>
      <c r="E379">
        <v>33.5</v>
      </c>
      <c r="F379">
        <v>10</v>
      </c>
      <c r="G379" s="14">
        <f>Stress_And_Productivity_1[[#This Row],[stress_level_0_10]]*10</f>
        <v>100</v>
      </c>
    </row>
    <row r="380" spans="1:7" x14ac:dyDescent="0.3">
      <c r="A380" t="s">
        <v>411</v>
      </c>
      <c r="B380">
        <v>31</v>
      </c>
      <c r="C380" t="s">
        <v>16</v>
      </c>
      <c r="D380" t="s">
        <v>18</v>
      </c>
      <c r="E380">
        <v>50.4</v>
      </c>
      <c r="F380">
        <v>7.8</v>
      </c>
      <c r="G380" s="14">
        <f>Stress_And_Productivity_1[[#This Row],[stress_level_0_10]]*10</f>
        <v>78</v>
      </c>
    </row>
    <row r="381" spans="1:7" x14ac:dyDescent="0.3">
      <c r="A381" t="s">
        <v>412</v>
      </c>
      <c r="B381">
        <v>32</v>
      </c>
      <c r="C381" t="s">
        <v>24</v>
      </c>
      <c r="D381" t="s">
        <v>20</v>
      </c>
      <c r="E381">
        <v>43.8</v>
      </c>
      <c r="F381">
        <v>10</v>
      </c>
      <c r="G381" s="14">
        <f>Stress_And_Productivity_1[[#This Row],[stress_level_0_10]]*10</f>
        <v>100</v>
      </c>
    </row>
    <row r="382" spans="1:7" x14ac:dyDescent="0.3">
      <c r="A382" t="s">
        <v>413</v>
      </c>
      <c r="B382">
        <v>45</v>
      </c>
      <c r="C382" t="s">
        <v>16</v>
      </c>
      <c r="D382" t="s">
        <v>22</v>
      </c>
      <c r="E382">
        <v>49.9</v>
      </c>
      <c r="F382">
        <v>9.6999999999999993</v>
      </c>
      <c r="G382" s="14">
        <f>Stress_And_Productivity_1[[#This Row],[stress_level_0_10]]*10</f>
        <v>97</v>
      </c>
    </row>
    <row r="383" spans="1:7" x14ac:dyDescent="0.3">
      <c r="A383" t="s">
        <v>414</v>
      </c>
      <c r="B383">
        <v>37</v>
      </c>
      <c r="C383" t="s">
        <v>24</v>
      </c>
      <c r="D383" t="s">
        <v>18</v>
      </c>
      <c r="E383">
        <v>32.799999999999997</v>
      </c>
      <c r="F383">
        <v>10</v>
      </c>
      <c r="G383" s="14">
        <f>Stress_And_Productivity_1[[#This Row],[stress_level_0_10]]*10</f>
        <v>100</v>
      </c>
    </row>
    <row r="384" spans="1:7" x14ac:dyDescent="0.3">
      <c r="A384" t="s">
        <v>415</v>
      </c>
      <c r="B384">
        <v>25</v>
      </c>
      <c r="C384" t="s">
        <v>16</v>
      </c>
      <c r="D384" t="s">
        <v>20</v>
      </c>
      <c r="E384">
        <v>50.4</v>
      </c>
      <c r="F384">
        <v>10</v>
      </c>
      <c r="G384" s="14">
        <f>Stress_And_Productivity_1[[#This Row],[stress_level_0_10]]*10</f>
        <v>100</v>
      </c>
    </row>
    <row r="385" spans="1:7" x14ac:dyDescent="0.3">
      <c r="A385" t="s">
        <v>416</v>
      </c>
      <c r="B385">
        <v>22</v>
      </c>
      <c r="C385" t="s">
        <v>16</v>
      </c>
      <c r="D385" t="s">
        <v>18</v>
      </c>
      <c r="E385">
        <v>36.5</v>
      </c>
      <c r="F385">
        <v>10</v>
      </c>
      <c r="G385" s="14">
        <f>Stress_And_Productivity_1[[#This Row],[stress_level_0_10]]*10</f>
        <v>100</v>
      </c>
    </row>
    <row r="386" spans="1:7" x14ac:dyDescent="0.3">
      <c r="A386" t="s">
        <v>417</v>
      </c>
      <c r="B386">
        <v>33</v>
      </c>
      <c r="C386" t="s">
        <v>24</v>
      </c>
      <c r="D386" t="s">
        <v>22</v>
      </c>
      <c r="E386">
        <v>51.2</v>
      </c>
      <c r="F386">
        <v>7.8</v>
      </c>
      <c r="G386" s="14">
        <f>Stress_And_Productivity_1[[#This Row],[stress_level_0_10]]*10</f>
        <v>78</v>
      </c>
    </row>
    <row r="387" spans="1:7" x14ac:dyDescent="0.3">
      <c r="A387" t="s">
        <v>418</v>
      </c>
      <c r="B387">
        <v>19</v>
      </c>
      <c r="C387" t="s">
        <v>24</v>
      </c>
      <c r="D387" t="s">
        <v>20</v>
      </c>
      <c r="E387">
        <v>34.4</v>
      </c>
      <c r="F387">
        <v>9.6999999999999993</v>
      </c>
      <c r="G387" s="14">
        <f>Stress_And_Productivity_1[[#This Row],[stress_level_0_10]]*10</f>
        <v>97</v>
      </c>
    </row>
    <row r="388" spans="1:7" x14ac:dyDescent="0.3">
      <c r="A388" t="s">
        <v>419</v>
      </c>
      <c r="B388">
        <v>44</v>
      </c>
      <c r="C388" t="s">
        <v>16</v>
      </c>
      <c r="D388" t="s">
        <v>18</v>
      </c>
      <c r="E388">
        <v>38.799999999999997</v>
      </c>
      <c r="F388">
        <v>10</v>
      </c>
      <c r="G388" s="14">
        <f>Stress_And_Productivity_1[[#This Row],[stress_level_0_10]]*10</f>
        <v>100</v>
      </c>
    </row>
    <row r="389" spans="1:7" x14ac:dyDescent="0.3">
      <c r="A389" t="s">
        <v>420</v>
      </c>
      <c r="B389">
        <v>39</v>
      </c>
      <c r="C389" t="s">
        <v>24</v>
      </c>
      <c r="D389" t="s">
        <v>18</v>
      </c>
      <c r="E389">
        <v>43.5</v>
      </c>
      <c r="F389">
        <v>10</v>
      </c>
      <c r="G389" s="14">
        <f>Stress_And_Productivity_1[[#This Row],[stress_level_0_10]]*10</f>
        <v>100</v>
      </c>
    </row>
    <row r="390" spans="1:7" x14ac:dyDescent="0.3">
      <c r="A390" t="s">
        <v>421</v>
      </c>
      <c r="B390">
        <v>26</v>
      </c>
      <c r="C390" t="s">
        <v>16</v>
      </c>
      <c r="D390" t="s">
        <v>18</v>
      </c>
      <c r="E390">
        <v>64.599999999999994</v>
      </c>
      <c r="F390">
        <v>5.9</v>
      </c>
      <c r="G390" s="14">
        <f>Stress_And_Productivity_1[[#This Row],[stress_level_0_10]]*10</f>
        <v>59</v>
      </c>
    </row>
    <row r="391" spans="1:7" x14ac:dyDescent="0.3">
      <c r="A391" t="s">
        <v>422</v>
      </c>
      <c r="B391">
        <v>16</v>
      </c>
      <c r="C391" t="s">
        <v>24</v>
      </c>
      <c r="D391" t="s">
        <v>18</v>
      </c>
      <c r="E391">
        <v>47.4</v>
      </c>
      <c r="F391">
        <v>10</v>
      </c>
      <c r="G391" s="14">
        <f>Stress_And_Productivity_1[[#This Row],[stress_level_0_10]]*10</f>
        <v>100</v>
      </c>
    </row>
    <row r="392" spans="1:7" x14ac:dyDescent="0.3">
      <c r="A392" t="s">
        <v>423</v>
      </c>
      <c r="B392">
        <v>40</v>
      </c>
      <c r="C392" t="s">
        <v>24</v>
      </c>
      <c r="D392" t="s">
        <v>18</v>
      </c>
      <c r="E392">
        <v>57.3</v>
      </c>
      <c r="F392">
        <v>9.4</v>
      </c>
      <c r="G392" s="14">
        <f>Stress_And_Productivity_1[[#This Row],[stress_level_0_10]]*10</f>
        <v>94</v>
      </c>
    </row>
    <row r="393" spans="1:7" x14ac:dyDescent="0.3">
      <c r="A393" t="s">
        <v>424</v>
      </c>
      <c r="B393">
        <v>29</v>
      </c>
      <c r="C393" t="s">
        <v>16</v>
      </c>
      <c r="D393" t="s">
        <v>22</v>
      </c>
      <c r="E393">
        <v>63.6</v>
      </c>
      <c r="F393">
        <v>7.1</v>
      </c>
      <c r="G393" s="14">
        <f>Stress_And_Productivity_1[[#This Row],[stress_level_0_10]]*10</f>
        <v>71</v>
      </c>
    </row>
    <row r="394" spans="1:7" x14ac:dyDescent="0.3">
      <c r="A394" t="s">
        <v>425</v>
      </c>
      <c r="B394">
        <v>39</v>
      </c>
      <c r="C394" t="s">
        <v>16</v>
      </c>
      <c r="D394" t="s">
        <v>18</v>
      </c>
      <c r="E394">
        <v>41.4</v>
      </c>
      <c r="F394">
        <v>10</v>
      </c>
      <c r="G394" s="14">
        <f>Stress_And_Productivity_1[[#This Row],[stress_level_0_10]]*10</f>
        <v>100</v>
      </c>
    </row>
  </sheetData>
  <mergeCells count="1">
    <mergeCell ref="U43:AB43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4C4F-FD70-4B21-84C6-6FFC8B4CC2D5}">
  <dimension ref="A1:AC153"/>
  <sheetViews>
    <sheetView topLeftCell="C1" zoomScale="70" zoomScaleNormal="70" workbookViewId="0">
      <selection activeCell="M12" sqref="M12"/>
    </sheetView>
  </sheetViews>
  <sheetFormatPr defaultRowHeight="14" x14ac:dyDescent="0.3"/>
  <cols>
    <col min="1" max="1" width="11.25" bestFit="1" customWidth="1"/>
    <col min="2" max="2" width="6.25" bestFit="1" customWidth="1"/>
    <col min="3" max="3" width="15" bestFit="1" customWidth="1"/>
    <col min="4" max="4" width="14.1640625" bestFit="1" customWidth="1"/>
    <col min="5" max="5" width="11.25" bestFit="1" customWidth="1"/>
    <col min="6" max="6" width="6.25" bestFit="1" customWidth="1"/>
    <col min="7" max="7" width="15" bestFit="1" customWidth="1"/>
    <col min="8" max="8" width="14.1640625" bestFit="1" customWidth="1"/>
    <col min="9" max="9" width="21.4140625" bestFit="1" customWidth="1"/>
    <col min="11" max="11" width="11.25" bestFit="1" customWidth="1"/>
    <col min="12" max="12" width="6.25" bestFit="1" customWidth="1"/>
    <col min="13" max="13" width="15" bestFit="1" customWidth="1"/>
    <col min="14" max="14" width="14.1640625" bestFit="1" customWidth="1"/>
    <col min="15" max="15" width="12.4140625" customWidth="1"/>
    <col min="16" max="16" width="12.25" customWidth="1"/>
    <col min="23" max="23" width="16.25" customWidth="1"/>
  </cols>
  <sheetData>
    <row r="1" spans="1:29" x14ac:dyDescent="0.3">
      <c r="A1" t="s">
        <v>0</v>
      </c>
      <c r="B1" t="s">
        <v>481</v>
      </c>
      <c r="C1" t="s">
        <v>536</v>
      </c>
      <c r="E1" t="s">
        <v>0</v>
      </c>
      <c r="F1" t="s">
        <v>481</v>
      </c>
      <c r="G1" t="s">
        <v>536</v>
      </c>
      <c r="I1" t="s">
        <v>0</v>
      </c>
      <c r="J1" t="s">
        <v>481</v>
      </c>
      <c r="K1" t="s">
        <v>536</v>
      </c>
      <c r="N1" t="s">
        <v>18</v>
      </c>
      <c r="O1" t="s">
        <v>20</v>
      </c>
      <c r="P1" t="s">
        <v>22</v>
      </c>
      <c r="R1" t="s">
        <v>18</v>
      </c>
      <c r="S1" t="s">
        <v>20</v>
      </c>
      <c r="T1" t="s">
        <v>22</v>
      </c>
    </row>
    <row r="2" spans="1:29" x14ac:dyDescent="0.3">
      <c r="W2" s="12" t="s">
        <v>454</v>
      </c>
    </row>
    <row r="3" spans="1:29" x14ac:dyDescent="0.3">
      <c r="N3" s="10" t="s">
        <v>10</v>
      </c>
      <c r="O3" s="10" t="s">
        <v>10</v>
      </c>
      <c r="P3" s="10" t="s">
        <v>10</v>
      </c>
      <c r="R3" s="11" t="s">
        <v>11</v>
      </c>
      <c r="S3" s="11" t="s">
        <v>11</v>
      </c>
      <c r="T3" s="11" t="s">
        <v>11</v>
      </c>
      <c r="W3" t="s">
        <v>482</v>
      </c>
    </row>
    <row r="4" spans="1:29" x14ac:dyDescent="0.3">
      <c r="N4" s="6">
        <v>9.3000000000000007</v>
      </c>
      <c r="O4" s="6">
        <v>5.7</v>
      </c>
      <c r="P4" s="6">
        <v>9.1</v>
      </c>
      <c r="R4" s="7">
        <v>44.7</v>
      </c>
      <c r="S4" s="7">
        <v>78</v>
      </c>
      <c r="T4" s="7">
        <v>51.8</v>
      </c>
    </row>
    <row r="5" spans="1:29" ht="14.5" thickBot="1" x14ac:dyDescent="0.35">
      <c r="N5" s="8">
        <v>10</v>
      </c>
      <c r="O5" s="8">
        <v>5.4</v>
      </c>
      <c r="P5" s="8">
        <v>10</v>
      </c>
      <c r="R5" s="9">
        <v>38.5</v>
      </c>
      <c r="S5" s="9">
        <v>87</v>
      </c>
      <c r="T5" s="9">
        <v>37</v>
      </c>
      <c r="W5" t="s">
        <v>483</v>
      </c>
    </row>
    <row r="6" spans="1:29" x14ac:dyDescent="0.3">
      <c r="N6" s="6">
        <v>6.1</v>
      </c>
      <c r="O6" s="6">
        <v>1.6</v>
      </c>
      <c r="P6" s="6">
        <v>10</v>
      </c>
      <c r="R6" s="7">
        <v>64.8</v>
      </c>
      <c r="S6" s="7">
        <v>91.7</v>
      </c>
      <c r="T6" s="7">
        <v>44</v>
      </c>
      <c r="W6" s="2" t="s">
        <v>484</v>
      </c>
      <c r="X6" s="2" t="s">
        <v>446</v>
      </c>
      <c r="Y6" s="2" t="s">
        <v>445</v>
      </c>
      <c r="Z6" s="2" t="s">
        <v>485</v>
      </c>
      <c r="AA6" s="2" t="s">
        <v>486</v>
      </c>
    </row>
    <row r="7" spans="1:29" x14ac:dyDescent="0.3">
      <c r="N7" s="8">
        <v>8.8000000000000007</v>
      </c>
      <c r="O7" s="8">
        <v>10</v>
      </c>
      <c r="P7" s="8">
        <v>10</v>
      </c>
      <c r="R7" s="9">
        <v>55.9</v>
      </c>
      <c r="S7" s="9">
        <v>60.3</v>
      </c>
      <c r="T7" s="9">
        <v>42.2</v>
      </c>
      <c r="W7" t="s">
        <v>18</v>
      </c>
      <c r="X7">
        <v>150</v>
      </c>
      <c r="Y7">
        <v>1294.5</v>
      </c>
      <c r="Z7">
        <v>8.6300000000000008</v>
      </c>
      <c r="AA7">
        <v>3.1010402684563778</v>
      </c>
    </row>
    <row r="8" spans="1:29" x14ac:dyDescent="0.3">
      <c r="N8" s="6">
        <v>10</v>
      </c>
      <c r="O8" s="6">
        <v>5.0999999999999996</v>
      </c>
      <c r="P8" s="6">
        <v>4.5999999999999996</v>
      </c>
      <c r="R8" s="7">
        <v>33</v>
      </c>
      <c r="S8" s="7">
        <v>76.400000000000006</v>
      </c>
      <c r="T8" s="7">
        <v>88.4</v>
      </c>
      <c r="W8" t="s">
        <v>20</v>
      </c>
      <c r="X8">
        <v>102</v>
      </c>
      <c r="Y8">
        <v>795.09999999999991</v>
      </c>
      <c r="Z8">
        <v>7.7950980392156852</v>
      </c>
      <c r="AA8">
        <v>4.1872034556396951</v>
      </c>
    </row>
    <row r="9" spans="1:29" ht="14.5" thickBot="1" x14ac:dyDescent="0.35">
      <c r="N9" s="8">
        <v>6.3</v>
      </c>
      <c r="O9" s="8">
        <v>9.8000000000000007</v>
      </c>
      <c r="P9" s="8">
        <v>10</v>
      </c>
      <c r="R9" s="9">
        <v>70.7</v>
      </c>
      <c r="S9" s="9">
        <v>50.3</v>
      </c>
      <c r="T9" s="9">
        <v>53.2</v>
      </c>
      <c r="W9" t="s">
        <v>22</v>
      </c>
      <c r="X9" s="1">
        <v>141</v>
      </c>
      <c r="Y9" s="1">
        <v>1157.4999999999993</v>
      </c>
      <c r="Z9" s="1">
        <v>8.2092198581560236</v>
      </c>
      <c r="AA9" s="1">
        <v>3.7491286727457918</v>
      </c>
    </row>
    <row r="10" spans="1:29" x14ac:dyDescent="0.3">
      <c r="N10" s="6">
        <v>9.4</v>
      </c>
      <c r="O10" s="6">
        <v>7</v>
      </c>
      <c r="P10" s="6">
        <v>10</v>
      </c>
      <c r="R10" s="7">
        <v>52</v>
      </c>
      <c r="S10" s="7">
        <v>60</v>
      </c>
      <c r="T10" s="7">
        <v>37.6</v>
      </c>
    </row>
    <row r="11" spans="1:29" x14ac:dyDescent="0.3">
      <c r="N11" s="8">
        <v>10</v>
      </c>
      <c r="O11" s="8">
        <v>10</v>
      </c>
      <c r="P11" s="8">
        <v>7</v>
      </c>
      <c r="R11" s="9">
        <v>48.1</v>
      </c>
      <c r="S11" s="9">
        <v>38</v>
      </c>
      <c r="T11" s="9">
        <v>49</v>
      </c>
    </row>
    <row r="12" spans="1:29" ht="14.5" thickBot="1" x14ac:dyDescent="0.35">
      <c r="N12" s="6">
        <v>8.1</v>
      </c>
      <c r="O12" s="6">
        <v>8.5</v>
      </c>
      <c r="P12" s="6">
        <v>4.2</v>
      </c>
      <c r="R12" s="7">
        <v>53.1</v>
      </c>
      <c r="S12" s="7">
        <v>52.1</v>
      </c>
      <c r="T12" s="7">
        <v>85.1</v>
      </c>
      <c r="W12" t="s">
        <v>463</v>
      </c>
    </row>
    <row r="13" spans="1:29" x14ac:dyDescent="0.3">
      <c r="N13" s="8">
        <v>3.7</v>
      </c>
      <c r="O13" s="8">
        <v>10</v>
      </c>
      <c r="P13" s="8">
        <v>10</v>
      </c>
      <c r="R13" s="9">
        <v>77.3</v>
      </c>
      <c r="S13" s="9">
        <v>39.6</v>
      </c>
      <c r="T13" s="9">
        <v>51</v>
      </c>
      <c r="W13" s="2" t="s">
        <v>487</v>
      </c>
      <c r="X13" s="2" t="s">
        <v>465</v>
      </c>
      <c r="Y13" s="2" t="s">
        <v>464</v>
      </c>
      <c r="Z13" s="2" t="s">
        <v>466</v>
      </c>
      <c r="AA13" s="2" t="s">
        <v>467</v>
      </c>
      <c r="AB13" s="2" t="s">
        <v>474</v>
      </c>
      <c r="AC13" s="2" t="s">
        <v>488</v>
      </c>
    </row>
    <row r="14" spans="1:29" x14ac:dyDescent="0.3">
      <c r="N14" s="6">
        <v>10</v>
      </c>
      <c r="O14" s="6">
        <v>9</v>
      </c>
      <c r="P14" s="6">
        <v>7.6</v>
      </c>
      <c r="R14" s="7">
        <v>53.3</v>
      </c>
      <c r="S14" s="7">
        <v>49.8</v>
      </c>
      <c r="T14" s="7">
        <v>61.1</v>
      </c>
      <c r="W14" t="s">
        <v>489</v>
      </c>
      <c r="X14">
        <v>42.9420831064322</v>
      </c>
      <c r="Y14">
        <v>2</v>
      </c>
      <c r="Z14">
        <v>21.4710415532161</v>
      </c>
      <c r="AA14" s="17">
        <v>5.9394703374998556</v>
      </c>
      <c r="AB14" s="17">
        <v>2.8775630652100302E-3</v>
      </c>
      <c r="AC14" s="17">
        <v>3.0188618788350188</v>
      </c>
    </row>
    <row r="15" spans="1:29" x14ac:dyDescent="0.3">
      <c r="N15" s="8">
        <v>10</v>
      </c>
      <c r="O15" s="8">
        <v>7.2</v>
      </c>
      <c r="P15" s="8">
        <v>9.9</v>
      </c>
      <c r="R15" s="9">
        <v>42.6</v>
      </c>
      <c r="S15" s="9">
        <v>67.400000000000006</v>
      </c>
      <c r="T15" s="9">
        <v>57</v>
      </c>
      <c r="W15" t="s">
        <v>490</v>
      </c>
      <c r="X15">
        <v>1409.840563204004</v>
      </c>
      <c r="Y15">
        <v>390</v>
      </c>
      <c r="Z15">
        <v>3.6149758030871895</v>
      </c>
    </row>
    <row r="16" spans="1:29" x14ac:dyDescent="0.3">
      <c r="N16" s="6">
        <v>7</v>
      </c>
      <c r="O16" s="6">
        <v>8.4</v>
      </c>
      <c r="P16" s="6">
        <v>9.5</v>
      </c>
      <c r="R16" s="7">
        <v>60.3</v>
      </c>
      <c r="S16" s="7">
        <v>51.7</v>
      </c>
      <c r="T16" s="7">
        <v>45.7</v>
      </c>
    </row>
    <row r="17" spans="14:29" ht="14.5" thickBot="1" x14ac:dyDescent="0.35">
      <c r="N17" s="8">
        <v>8.4</v>
      </c>
      <c r="O17" s="8">
        <v>7.4</v>
      </c>
      <c r="P17" s="8">
        <v>6.5</v>
      </c>
      <c r="R17" s="9">
        <v>53.6</v>
      </c>
      <c r="S17" s="9">
        <v>58.8</v>
      </c>
      <c r="T17" s="9">
        <v>68.099999999999994</v>
      </c>
      <c r="W17" s="1" t="s">
        <v>471</v>
      </c>
      <c r="X17" s="1">
        <v>1452.78264631044</v>
      </c>
      <c r="Y17" s="1">
        <v>392</v>
      </c>
      <c r="Z17" s="1"/>
      <c r="AA17" s="1"/>
      <c r="AB17" s="1"/>
      <c r="AC17" s="1"/>
    </row>
    <row r="18" spans="14:29" x14ac:dyDescent="0.3">
      <c r="N18" s="6">
        <v>10</v>
      </c>
      <c r="O18" s="6">
        <v>8.9</v>
      </c>
      <c r="P18" s="6">
        <v>6.5</v>
      </c>
      <c r="R18" s="7">
        <v>51.6</v>
      </c>
      <c r="S18" s="7">
        <v>49.2</v>
      </c>
      <c r="T18" s="7">
        <v>56.8</v>
      </c>
    </row>
    <row r="19" spans="14:29" x14ac:dyDescent="0.3">
      <c r="N19" s="8">
        <v>3.8</v>
      </c>
      <c r="O19" s="8">
        <v>10</v>
      </c>
      <c r="P19" s="8">
        <v>8.8000000000000007</v>
      </c>
      <c r="R19" s="9">
        <v>77.7</v>
      </c>
      <c r="S19" s="9">
        <v>27.1</v>
      </c>
      <c r="T19" s="9">
        <v>44.9</v>
      </c>
    </row>
    <row r="20" spans="14:29" x14ac:dyDescent="0.3">
      <c r="N20" s="6">
        <v>10</v>
      </c>
      <c r="O20" s="6">
        <v>5.6</v>
      </c>
      <c r="P20" s="6">
        <v>9.8000000000000007</v>
      </c>
      <c r="R20" s="7">
        <v>37.6</v>
      </c>
      <c r="S20" s="7">
        <v>74</v>
      </c>
      <c r="T20" s="7">
        <v>44.8</v>
      </c>
    </row>
    <row r="21" spans="14:29" x14ac:dyDescent="0.3">
      <c r="N21" s="8">
        <v>4.0999999999999996</v>
      </c>
      <c r="O21" s="8">
        <v>10</v>
      </c>
      <c r="P21" s="8">
        <v>9.4</v>
      </c>
      <c r="R21" s="9">
        <v>79.599999999999994</v>
      </c>
      <c r="S21" s="9">
        <v>46.3</v>
      </c>
      <c r="T21" s="9">
        <v>51.7</v>
      </c>
    </row>
    <row r="22" spans="14:29" x14ac:dyDescent="0.3">
      <c r="N22" s="6">
        <v>10</v>
      </c>
      <c r="O22" s="6">
        <v>10</v>
      </c>
      <c r="P22" s="6">
        <v>7.2</v>
      </c>
      <c r="R22" s="7">
        <v>34.799999999999997</v>
      </c>
      <c r="S22" s="7">
        <v>42.2</v>
      </c>
      <c r="T22" s="7">
        <v>67.8</v>
      </c>
    </row>
    <row r="23" spans="14:29" x14ac:dyDescent="0.3">
      <c r="N23" s="8">
        <v>9.3000000000000007</v>
      </c>
      <c r="O23" s="8">
        <v>7</v>
      </c>
      <c r="P23" s="8">
        <v>9.6999999999999993</v>
      </c>
      <c r="R23" s="9">
        <v>52.8</v>
      </c>
      <c r="S23" s="9">
        <v>65.099999999999994</v>
      </c>
      <c r="T23" s="9">
        <v>40.299999999999997</v>
      </c>
    </row>
    <row r="24" spans="14:29" x14ac:dyDescent="0.3">
      <c r="N24" s="6">
        <v>10</v>
      </c>
      <c r="O24" s="6">
        <v>9.1999999999999993</v>
      </c>
      <c r="P24" s="6">
        <v>8.4</v>
      </c>
      <c r="R24" s="7">
        <v>38.5</v>
      </c>
      <c r="S24" s="7">
        <v>56</v>
      </c>
      <c r="T24" s="7">
        <v>51.1</v>
      </c>
      <c r="W24" s="12" t="s">
        <v>452</v>
      </c>
    </row>
    <row r="25" spans="14:29" x14ac:dyDescent="0.3">
      <c r="N25" s="8">
        <v>7.2</v>
      </c>
      <c r="O25" s="8">
        <v>2.2000000000000002</v>
      </c>
      <c r="P25" s="8">
        <v>7.4</v>
      </c>
      <c r="R25" s="9">
        <v>60</v>
      </c>
      <c r="S25" s="9">
        <v>88</v>
      </c>
      <c r="T25" s="9">
        <v>50.3</v>
      </c>
      <c r="W25" t="s">
        <v>482</v>
      </c>
    </row>
    <row r="26" spans="14:29" x14ac:dyDescent="0.3">
      <c r="N26" s="6">
        <v>6.9</v>
      </c>
      <c r="O26" s="6">
        <v>9.4</v>
      </c>
      <c r="P26" s="6">
        <v>5.0999999999999996</v>
      </c>
      <c r="R26" s="7">
        <v>81</v>
      </c>
      <c r="S26" s="7">
        <v>45.5</v>
      </c>
      <c r="T26" s="7">
        <v>76.5</v>
      </c>
    </row>
    <row r="27" spans="14:29" ht="14.5" thickBot="1" x14ac:dyDescent="0.35">
      <c r="N27" s="8">
        <v>9.4</v>
      </c>
      <c r="O27" s="8">
        <v>3</v>
      </c>
      <c r="P27" s="8">
        <v>7.7</v>
      </c>
      <c r="R27" s="9">
        <v>45.8</v>
      </c>
      <c r="S27" s="9">
        <v>88.3</v>
      </c>
      <c r="T27" s="9">
        <v>59</v>
      </c>
      <c r="W27" t="s">
        <v>483</v>
      </c>
    </row>
    <row r="28" spans="14:29" x14ac:dyDescent="0.3">
      <c r="N28" s="6">
        <v>10</v>
      </c>
      <c r="O28" s="6">
        <v>7.1</v>
      </c>
      <c r="P28" s="6">
        <v>4.5999999999999996</v>
      </c>
      <c r="R28" s="7">
        <v>48.3</v>
      </c>
      <c r="S28" s="7">
        <v>55.9</v>
      </c>
      <c r="T28" s="7">
        <v>68.5</v>
      </c>
      <c r="W28" s="2" t="s">
        <v>484</v>
      </c>
      <c r="X28" s="2" t="s">
        <v>446</v>
      </c>
      <c r="Y28" s="2" t="s">
        <v>445</v>
      </c>
      <c r="Z28" s="2" t="s">
        <v>485</v>
      </c>
      <c r="AA28" s="2" t="s">
        <v>486</v>
      </c>
    </row>
    <row r="29" spans="14:29" x14ac:dyDescent="0.3">
      <c r="N29" s="8">
        <v>2.6</v>
      </c>
      <c r="O29" s="8">
        <v>6.2</v>
      </c>
      <c r="P29" s="8">
        <v>10</v>
      </c>
      <c r="R29" s="9">
        <v>86.3</v>
      </c>
      <c r="S29" s="9">
        <v>68.7</v>
      </c>
      <c r="T29" s="9">
        <v>41.5</v>
      </c>
      <c r="W29" t="s">
        <v>18</v>
      </c>
      <c r="X29">
        <v>141</v>
      </c>
      <c r="Y29">
        <v>7112.5000000000009</v>
      </c>
      <c r="Z29">
        <v>50.443262411347526</v>
      </c>
      <c r="AA29">
        <v>182.54775785207539</v>
      </c>
    </row>
    <row r="30" spans="14:29" x14ac:dyDescent="0.3">
      <c r="N30" s="6">
        <v>10</v>
      </c>
      <c r="O30" s="6">
        <v>8.8000000000000007</v>
      </c>
      <c r="P30" s="6">
        <v>4.5</v>
      </c>
      <c r="R30" s="7">
        <v>38</v>
      </c>
      <c r="S30" s="7">
        <v>49.9</v>
      </c>
      <c r="T30" s="7">
        <v>67.7</v>
      </c>
      <c r="W30" t="s">
        <v>20</v>
      </c>
      <c r="X30">
        <v>102</v>
      </c>
      <c r="Y30">
        <v>5819.800000000002</v>
      </c>
      <c r="Z30">
        <v>57.056862745098059</v>
      </c>
      <c r="AA30">
        <v>198.74326926810116</v>
      </c>
    </row>
    <row r="31" spans="14:29" ht="14.5" thickBot="1" x14ac:dyDescent="0.35">
      <c r="N31" s="8">
        <v>10</v>
      </c>
      <c r="O31" s="8">
        <v>6.8</v>
      </c>
      <c r="P31" s="8">
        <v>6.4</v>
      </c>
      <c r="R31" s="9">
        <v>43</v>
      </c>
      <c r="S31" s="9">
        <v>61.4</v>
      </c>
      <c r="T31" s="9">
        <v>58.3</v>
      </c>
      <c r="W31" t="s">
        <v>22</v>
      </c>
      <c r="X31" s="1">
        <v>141</v>
      </c>
      <c r="Y31" s="1">
        <v>7687.9000000000033</v>
      </c>
      <c r="Z31" s="1">
        <v>54.52411347517733</v>
      </c>
      <c r="AA31" s="1">
        <v>187.91698581559925</v>
      </c>
    </row>
    <row r="32" spans="14:29" x14ac:dyDescent="0.3">
      <c r="N32" s="6">
        <v>5.4</v>
      </c>
      <c r="O32" s="6">
        <v>7.7</v>
      </c>
      <c r="P32" s="6">
        <v>8.3000000000000007</v>
      </c>
      <c r="R32" s="7">
        <v>74.5</v>
      </c>
      <c r="S32" s="7">
        <v>53.9</v>
      </c>
      <c r="T32" s="7">
        <v>57.1</v>
      </c>
    </row>
    <row r="33" spans="14:29" x14ac:dyDescent="0.3">
      <c r="N33" s="8">
        <v>10</v>
      </c>
      <c r="O33" s="8">
        <v>9.5</v>
      </c>
      <c r="P33" s="8">
        <v>10</v>
      </c>
      <c r="R33" s="9">
        <v>51.1</v>
      </c>
      <c r="S33" s="9">
        <v>45.4</v>
      </c>
      <c r="T33" s="9">
        <v>51.5</v>
      </c>
    </row>
    <row r="34" spans="14:29" ht="14.5" thickBot="1" x14ac:dyDescent="0.35">
      <c r="N34" s="6">
        <v>6.8</v>
      </c>
      <c r="O34" s="6">
        <v>7</v>
      </c>
      <c r="P34" s="6">
        <v>5.0999999999999996</v>
      </c>
      <c r="R34" s="7">
        <v>60.5</v>
      </c>
      <c r="S34" s="7">
        <v>66.8</v>
      </c>
      <c r="T34" s="7">
        <v>74.8</v>
      </c>
      <c r="W34" t="s">
        <v>463</v>
      </c>
    </row>
    <row r="35" spans="14:29" x14ac:dyDescent="0.3">
      <c r="N35" s="8">
        <v>8.1999999999999993</v>
      </c>
      <c r="O35" s="8">
        <v>10</v>
      </c>
      <c r="P35" s="8">
        <v>4.3</v>
      </c>
      <c r="R35" s="9">
        <v>66.3</v>
      </c>
      <c r="S35" s="9">
        <v>42.3</v>
      </c>
      <c r="T35" s="9">
        <v>68.3</v>
      </c>
      <c r="W35" s="2" t="s">
        <v>487</v>
      </c>
      <c r="X35" s="2" t="s">
        <v>465</v>
      </c>
      <c r="Y35" s="2" t="s">
        <v>464</v>
      </c>
      <c r="Z35" s="2" t="s">
        <v>466</v>
      </c>
      <c r="AA35" s="2" t="s">
        <v>467</v>
      </c>
      <c r="AB35" s="2" t="s">
        <v>474</v>
      </c>
      <c r="AC35" s="2" t="s">
        <v>488</v>
      </c>
    </row>
    <row r="36" spans="14:29" x14ac:dyDescent="0.3">
      <c r="N36" s="6">
        <v>4.5999999999999996</v>
      </c>
      <c r="O36" s="6">
        <v>10</v>
      </c>
      <c r="P36" s="6">
        <v>10</v>
      </c>
      <c r="R36" s="7">
        <v>82.3</v>
      </c>
      <c r="S36" s="7">
        <v>37.299999999999997</v>
      </c>
      <c r="T36" s="7">
        <v>36.4</v>
      </c>
      <c r="W36" t="s">
        <v>489</v>
      </c>
      <c r="X36">
        <v>2740.6447529464349</v>
      </c>
      <c r="Y36">
        <v>2</v>
      </c>
      <c r="Z36">
        <v>1370.3223764732174</v>
      </c>
      <c r="AA36" s="17">
        <v>7.2575252395301586</v>
      </c>
      <c r="AB36" s="17">
        <v>8.0659150350692599E-4</v>
      </c>
      <c r="AC36" s="17">
        <v>3.0194111190619868</v>
      </c>
    </row>
    <row r="37" spans="14:29" x14ac:dyDescent="0.3">
      <c r="N37" s="8">
        <v>6.3</v>
      </c>
      <c r="O37" s="8">
        <v>6.7</v>
      </c>
      <c r="P37" s="8">
        <v>5</v>
      </c>
      <c r="R37" s="9">
        <v>64.400000000000006</v>
      </c>
      <c r="S37" s="9">
        <v>73</v>
      </c>
      <c r="T37" s="9">
        <v>86.8</v>
      </c>
      <c r="W37" t="s">
        <v>490</v>
      </c>
      <c r="X37">
        <v>71938.134309553614</v>
      </c>
      <c r="Y37">
        <v>381</v>
      </c>
      <c r="Z37">
        <v>188.81400081247668</v>
      </c>
    </row>
    <row r="38" spans="14:29" x14ac:dyDescent="0.3">
      <c r="N38" s="6">
        <v>9.1</v>
      </c>
      <c r="O38" s="6">
        <v>6.6</v>
      </c>
      <c r="P38" s="6">
        <v>7.1</v>
      </c>
      <c r="R38" s="7">
        <v>50.4</v>
      </c>
      <c r="S38" s="7">
        <v>80.400000000000006</v>
      </c>
      <c r="T38" s="7">
        <v>56.7</v>
      </c>
    </row>
    <row r="39" spans="14:29" ht="14.5" thickBot="1" x14ac:dyDescent="0.35">
      <c r="N39" s="8">
        <v>9.3000000000000007</v>
      </c>
      <c r="O39" s="8">
        <v>4.8</v>
      </c>
      <c r="P39" s="8">
        <v>9.3000000000000007</v>
      </c>
      <c r="R39" s="9">
        <v>46.5</v>
      </c>
      <c r="S39" s="9">
        <v>67.400000000000006</v>
      </c>
      <c r="T39" s="9">
        <v>55.1</v>
      </c>
      <c r="W39" s="1" t="s">
        <v>471</v>
      </c>
      <c r="X39" s="1">
        <v>74678.779062500049</v>
      </c>
      <c r="Y39" s="1">
        <v>383</v>
      </c>
      <c r="Z39" s="1"/>
      <c r="AA39" s="1"/>
      <c r="AB39" s="1"/>
      <c r="AC39" s="1"/>
    </row>
    <row r="40" spans="14:29" x14ac:dyDescent="0.3">
      <c r="N40" s="6">
        <v>10</v>
      </c>
      <c r="O40" s="6">
        <v>7.9</v>
      </c>
      <c r="P40" s="6">
        <v>8.4</v>
      </c>
      <c r="R40" s="7">
        <v>43.9</v>
      </c>
      <c r="S40" s="7">
        <v>56.7</v>
      </c>
      <c r="T40" s="7">
        <v>56.2</v>
      </c>
    </row>
    <row r="41" spans="14:29" x14ac:dyDescent="0.3">
      <c r="N41" s="8">
        <v>10</v>
      </c>
      <c r="O41" s="8">
        <v>5.2</v>
      </c>
      <c r="P41" s="8">
        <v>10</v>
      </c>
      <c r="R41" s="9">
        <v>40.6</v>
      </c>
      <c r="S41" s="9">
        <v>79.099999999999994</v>
      </c>
      <c r="T41" s="9">
        <v>52.1</v>
      </c>
    </row>
    <row r="42" spans="14:29" x14ac:dyDescent="0.3">
      <c r="N42" s="6">
        <v>8.3000000000000007</v>
      </c>
      <c r="O42" s="6">
        <v>10</v>
      </c>
      <c r="P42" s="6">
        <v>10</v>
      </c>
      <c r="R42" s="7">
        <v>53.5</v>
      </c>
      <c r="S42" s="7">
        <v>41.2</v>
      </c>
      <c r="T42" s="7">
        <v>40.9</v>
      </c>
    </row>
    <row r="43" spans="14:29" x14ac:dyDescent="0.3">
      <c r="N43" s="8">
        <v>8.9</v>
      </c>
      <c r="O43" s="8">
        <v>2.9</v>
      </c>
      <c r="P43" s="8">
        <v>8.1</v>
      </c>
      <c r="R43" s="9">
        <v>48.4</v>
      </c>
      <c r="S43" s="9">
        <v>79.599999999999994</v>
      </c>
      <c r="T43" s="9">
        <v>70.8</v>
      </c>
    </row>
    <row r="44" spans="14:29" x14ac:dyDescent="0.3">
      <c r="N44" s="6">
        <v>9.1999999999999993</v>
      </c>
      <c r="O44" s="6">
        <v>5.5</v>
      </c>
      <c r="P44" s="6">
        <v>9.4</v>
      </c>
      <c r="R44" s="7">
        <v>58.5</v>
      </c>
      <c r="S44" s="7">
        <v>67.099999999999994</v>
      </c>
      <c r="T44" s="7">
        <v>49.3</v>
      </c>
    </row>
    <row r="45" spans="14:29" x14ac:dyDescent="0.3">
      <c r="N45" s="8">
        <v>10</v>
      </c>
      <c r="O45" s="8">
        <v>10</v>
      </c>
      <c r="P45" s="8">
        <v>8.9</v>
      </c>
      <c r="R45" s="9">
        <v>33.200000000000003</v>
      </c>
      <c r="S45" s="9">
        <v>37.9</v>
      </c>
      <c r="T45" s="9">
        <v>59.5</v>
      </c>
    </row>
    <row r="46" spans="14:29" x14ac:dyDescent="0.3">
      <c r="N46" s="6">
        <v>9.5</v>
      </c>
      <c r="O46" s="6">
        <v>8.1999999999999993</v>
      </c>
      <c r="P46" s="6">
        <v>3.7</v>
      </c>
      <c r="R46" s="7">
        <v>36.1</v>
      </c>
      <c r="S46" s="7">
        <v>51</v>
      </c>
      <c r="T46" s="7">
        <v>79</v>
      </c>
    </row>
    <row r="47" spans="14:29" x14ac:dyDescent="0.3">
      <c r="N47" s="8">
        <v>10</v>
      </c>
      <c r="O47" s="8">
        <v>9.5</v>
      </c>
      <c r="P47" s="8">
        <v>8.3000000000000007</v>
      </c>
      <c r="R47" s="9">
        <v>26</v>
      </c>
      <c r="S47" s="9">
        <v>50.4</v>
      </c>
      <c r="T47" s="9">
        <v>60</v>
      </c>
    </row>
    <row r="48" spans="14:29" x14ac:dyDescent="0.3">
      <c r="N48" s="6">
        <v>9.6</v>
      </c>
      <c r="O48" s="6">
        <v>5.5</v>
      </c>
      <c r="P48" s="6">
        <v>10</v>
      </c>
      <c r="R48" s="7">
        <v>44.8</v>
      </c>
      <c r="S48" s="7">
        <v>77.900000000000006</v>
      </c>
      <c r="T48" s="7">
        <v>39.4</v>
      </c>
    </row>
    <row r="49" spans="14:20" x14ac:dyDescent="0.3">
      <c r="N49" s="8">
        <v>9.1999999999999993</v>
      </c>
      <c r="O49" s="8">
        <v>9.1</v>
      </c>
      <c r="P49" s="8">
        <v>5.8</v>
      </c>
      <c r="R49" s="9">
        <v>35.9</v>
      </c>
      <c r="S49" s="9">
        <v>57.4</v>
      </c>
      <c r="T49" s="9">
        <v>68.8</v>
      </c>
    </row>
    <row r="50" spans="14:20" x14ac:dyDescent="0.3">
      <c r="N50" s="6">
        <v>6.9</v>
      </c>
      <c r="O50" s="6">
        <v>5.7</v>
      </c>
      <c r="P50" s="6">
        <v>10</v>
      </c>
      <c r="R50" s="7">
        <v>52.6</v>
      </c>
      <c r="S50" s="7">
        <v>79</v>
      </c>
      <c r="T50" s="7">
        <v>34.4</v>
      </c>
    </row>
    <row r="51" spans="14:20" x14ac:dyDescent="0.3">
      <c r="N51" s="8">
        <v>10</v>
      </c>
      <c r="O51" s="8">
        <v>6.8</v>
      </c>
      <c r="P51" s="8">
        <v>6.2</v>
      </c>
      <c r="R51" s="9">
        <v>47.2</v>
      </c>
      <c r="S51" s="9">
        <v>59.1</v>
      </c>
      <c r="T51" s="9">
        <v>54.4</v>
      </c>
    </row>
    <row r="52" spans="14:20" x14ac:dyDescent="0.3">
      <c r="N52" s="6">
        <v>10</v>
      </c>
      <c r="O52" s="6">
        <v>10</v>
      </c>
      <c r="P52" s="6">
        <v>10</v>
      </c>
      <c r="R52" s="7">
        <v>40.9</v>
      </c>
      <c r="S52" s="7">
        <v>28.1</v>
      </c>
      <c r="T52" s="7">
        <v>36.4</v>
      </c>
    </row>
    <row r="53" spans="14:20" x14ac:dyDescent="0.3">
      <c r="N53" s="8">
        <v>8.8000000000000007</v>
      </c>
      <c r="O53" s="8">
        <v>6.4</v>
      </c>
      <c r="P53" s="8">
        <v>9</v>
      </c>
      <c r="R53" s="9">
        <v>56.1</v>
      </c>
      <c r="S53" s="9">
        <v>69.599999999999994</v>
      </c>
      <c r="T53" s="9">
        <v>45.4</v>
      </c>
    </row>
    <row r="54" spans="14:20" x14ac:dyDescent="0.3">
      <c r="N54" s="6">
        <v>6.4</v>
      </c>
      <c r="O54" s="6">
        <v>10</v>
      </c>
      <c r="P54" s="6">
        <v>7.9</v>
      </c>
      <c r="R54" s="7">
        <v>64.099999999999994</v>
      </c>
      <c r="S54" s="7">
        <v>45.1</v>
      </c>
      <c r="T54" s="7">
        <v>48.5</v>
      </c>
    </row>
    <row r="55" spans="14:20" x14ac:dyDescent="0.3">
      <c r="N55" s="8">
        <v>10</v>
      </c>
      <c r="O55" s="8">
        <v>7.4</v>
      </c>
      <c r="P55" s="8">
        <v>9.9</v>
      </c>
      <c r="R55" s="9">
        <v>50.5</v>
      </c>
      <c r="S55" s="9">
        <v>54</v>
      </c>
      <c r="T55" s="9">
        <v>44.6</v>
      </c>
    </row>
    <row r="56" spans="14:20" x14ac:dyDescent="0.3">
      <c r="N56" s="6">
        <v>8.5</v>
      </c>
      <c r="O56" s="6">
        <v>6.6</v>
      </c>
      <c r="P56" s="6">
        <v>8.4</v>
      </c>
      <c r="R56" s="7">
        <v>56.2</v>
      </c>
      <c r="S56" s="7">
        <v>57</v>
      </c>
      <c r="T56" s="7">
        <v>55.6</v>
      </c>
    </row>
    <row r="57" spans="14:20" x14ac:dyDescent="0.3">
      <c r="N57" s="8">
        <v>6.8</v>
      </c>
      <c r="O57" s="8">
        <v>10</v>
      </c>
      <c r="P57" s="8">
        <v>10</v>
      </c>
      <c r="R57" s="9">
        <v>73.599999999999994</v>
      </c>
      <c r="S57" s="9">
        <v>38.1</v>
      </c>
      <c r="T57" s="9">
        <v>45.5</v>
      </c>
    </row>
    <row r="58" spans="14:20" x14ac:dyDescent="0.3">
      <c r="N58" s="6">
        <v>10</v>
      </c>
      <c r="O58" s="6">
        <v>6.4</v>
      </c>
      <c r="P58" s="6">
        <v>10</v>
      </c>
      <c r="R58" s="7">
        <v>44.2</v>
      </c>
      <c r="S58" s="7">
        <v>70.8</v>
      </c>
      <c r="T58" s="7">
        <v>52.8</v>
      </c>
    </row>
    <row r="59" spans="14:20" x14ac:dyDescent="0.3">
      <c r="N59" s="8">
        <v>3.6</v>
      </c>
      <c r="O59" s="8">
        <v>7.4</v>
      </c>
      <c r="P59" s="8">
        <v>10</v>
      </c>
      <c r="R59" s="9">
        <v>64.8</v>
      </c>
      <c r="S59" s="9">
        <v>56.6</v>
      </c>
      <c r="T59" s="9">
        <v>42.6</v>
      </c>
    </row>
    <row r="60" spans="14:20" x14ac:dyDescent="0.3">
      <c r="N60" s="6">
        <v>10</v>
      </c>
      <c r="O60" s="6">
        <v>3.5</v>
      </c>
      <c r="P60" s="6">
        <v>6.9</v>
      </c>
      <c r="R60" s="7">
        <v>33.1</v>
      </c>
      <c r="S60" s="7">
        <v>72.900000000000006</v>
      </c>
      <c r="T60" s="7">
        <v>50.3</v>
      </c>
    </row>
    <row r="61" spans="14:20" x14ac:dyDescent="0.3">
      <c r="N61" s="8">
        <v>10</v>
      </c>
      <c r="O61" s="8">
        <v>8.4</v>
      </c>
      <c r="P61" s="8">
        <v>10</v>
      </c>
      <c r="R61" s="9">
        <v>37.700000000000003</v>
      </c>
      <c r="S61" s="9">
        <v>56.6</v>
      </c>
      <c r="T61" s="9">
        <v>44.2</v>
      </c>
    </row>
    <row r="62" spans="14:20" x14ac:dyDescent="0.3">
      <c r="N62" s="6">
        <v>7.8</v>
      </c>
      <c r="O62" s="6">
        <v>6.9</v>
      </c>
      <c r="P62" s="6">
        <v>8.6999999999999993</v>
      </c>
      <c r="R62" s="7">
        <v>58.2</v>
      </c>
      <c r="S62" s="7">
        <v>60.7</v>
      </c>
      <c r="T62" s="7">
        <v>61.2</v>
      </c>
    </row>
    <row r="63" spans="14:20" x14ac:dyDescent="0.3">
      <c r="N63" s="8">
        <v>10</v>
      </c>
      <c r="O63" s="8">
        <v>9.9</v>
      </c>
      <c r="P63" s="8">
        <v>10</v>
      </c>
      <c r="R63" s="9">
        <v>43.7</v>
      </c>
      <c r="S63" s="9">
        <v>58.8</v>
      </c>
      <c r="T63" s="9">
        <v>35.5</v>
      </c>
    </row>
    <row r="64" spans="14:20" x14ac:dyDescent="0.3">
      <c r="N64" s="6">
        <v>10</v>
      </c>
      <c r="O64" s="6">
        <v>7.6</v>
      </c>
      <c r="P64" s="6">
        <v>4.0999999999999996</v>
      </c>
      <c r="R64" s="7">
        <v>43.2</v>
      </c>
      <c r="S64" s="7">
        <v>55.5</v>
      </c>
      <c r="T64" s="7">
        <v>79.099999999999994</v>
      </c>
    </row>
    <row r="65" spans="14:20" x14ac:dyDescent="0.3">
      <c r="N65" s="8">
        <v>5.0999999999999996</v>
      </c>
      <c r="O65" s="8">
        <v>9.6</v>
      </c>
      <c r="P65" s="8">
        <v>6.3</v>
      </c>
      <c r="R65" s="9">
        <v>70.099999999999994</v>
      </c>
      <c r="S65" s="9">
        <v>48.5</v>
      </c>
      <c r="T65" s="9">
        <v>75.599999999999994</v>
      </c>
    </row>
    <row r="66" spans="14:20" x14ac:dyDescent="0.3">
      <c r="N66" s="6">
        <v>6.7</v>
      </c>
      <c r="O66" s="6">
        <v>5.2</v>
      </c>
      <c r="P66" s="6">
        <v>10</v>
      </c>
      <c r="R66" s="7">
        <v>73.2</v>
      </c>
      <c r="S66" s="7">
        <v>72.5</v>
      </c>
      <c r="T66" s="7">
        <v>51.3</v>
      </c>
    </row>
    <row r="67" spans="14:20" x14ac:dyDescent="0.3">
      <c r="N67" s="8">
        <v>8.3000000000000007</v>
      </c>
      <c r="O67" s="8">
        <v>8.5</v>
      </c>
      <c r="P67" s="8">
        <v>8</v>
      </c>
      <c r="R67" s="9">
        <v>49.6</v>
      </c>
      <c r="S67" s="9">
        <v>43.8</v>
      </c>
      <c r="T67" s="9">
        <v>53.9</v>
      </c>
    </row>
    <row r="68" spans="14:20" x14ac:dyDescent="0.3">
      <c r="N68" s="6">
        <v>7.9</v>
      </c>
      <c r="O68" s="6">
        <v>8.5</v>
      </c>
      <c r="P68" s="6">
        <v>10</v>
      </c>
      <c r="R68" s="7">
        <v>57.9</v>
      </c>
      <c r="S68" s="7">
        <v>48.8</v>
      </c>
      <c r="T68" s="7">
        <v>43.7</v>
      </c>
    </row>
    <row r="69" spans="14:20" x14ac:dyDescent="0.3">
      <c r="N69" s="8">
        <v>10</v>
      </c>
      <c r="O69" s="8">
        <v>8.5</v>
      </c>
      <c r="P69" s="8">
        <v>10</v>
      </c>
      <c r="R69" s="9">
        <v>39.299999999999997</v>
      </c>
      <c r="S69" s="9">
        <v>50.4</v>
      </c>
      <c r="T69" s="9">
        <v>30.9</v>
      </c>
    </row>
    <row r="70" spans="14:20" x14ac:dyDescent="0.3">
      <c r="N70" s="6">
        <v>10</v>
      </c>
      <c r="O70" s="6">
        <v>6.7</v>
      </c>
      <c r="P70" s="6">
        <v>10</v>
      </c>
      <c r="R70" s="7">
        <v>36.799999999999997</v>
      </c>
      <c r="S70" s="7">
        <v>67.3</v>
      </c>
      <c r="T70" s="7">
        <v>46.4</v>
      </c>
    </row>
    <row r="71" spans="14:20" x14ac:dyDescent="0.3">
      <c r="N71" s="8">
        <v>8.3000000000000007</v>
      </c>
      <c r="O71" s="8">
        <v>7</v>
      </c>
      <c r="P71" s="8">
        <v>10</v>
      </c>
      <c r="R71" s="9">
        <v>52.8</v>
      </c>
      <c r="S71" s="9">
        <v>60.4</v>
      </c>
      <c r="T71" s="9">
        <v>44.7</v>
      </c>
    </row>
    <row r="72" spans="14:20" x14ac:dyDescent="0.3">
      <c r="N72" s="6">
        <v>6.3</v>
      </c>
      <c r="O72" s="6">
        <v>7.1</v>
      </c>
      <c r="P72" s="6">
        <v>8.5</v>
      </c>
      <c r="R72" s="7">
        <v>62.4</v>
      </c>
      <c r="S72" s="7">
        <v>70.3</v>
      </c>
      <c r="T72" s="7">
        <v>66.7</v>
      </c>
    </row>
    <row r="73" spans="14:20" x14ac:dyDescent="0.3">
      <c r="N73" s="8">
        <v>10</v>
      </c>
      <c r="O73" s="8">
        <v>6.7</v>
      </c>
      <c r="P73" s="8">
        <v>6.4</v>
      </c>
      <c r="R73" s="9">
        <v>24.6</v>
      </c>
      <c r="S73" s="9">
        <v>65.599999999999994</v>
      </c>
      <c r="T73" s="9">
        <v>52.5</v>
      </c>
    </row>
    <row r="74" spans="14:20" x14ac:dyDescent="0.3">
      <c r="N74" s="6">
        <v>7.4</v>
      </c>
      <c r="O74" s="6">
        <v>5.5</v>
      </c>
      <c r="P74" s="6">
        <v>10</v>
      </c>
      <c r="R74" s="7">
        <v>66.8</v>
      </c>
      <c r="S74" s="7">
        <v>66.2</v>
      </c>
      <c r="T74" s="7">
        <v>50.1</v>
      </c>
    </row>
    <row r="75" spans="14:20" x14ac:dyDescent="0.3">
      <c r="N75" s="8">
        <v>10</v>
      </c>
      <c r="O75" s="8">
        <v>10</v>
      </c>
      <c r="P75" s="8">
        <v>9.4</v>
      </c>
      <c r="R75" s="9">
        <v>48.6</v>
      </c>
      <c r="S75" s="9">
        <v>47</v>
      </c>
      <c r="T75" s="9">
        <v>59.9</v>
      </c>
    </row>
    <row r="76" spans="14:20" x14ac:dyDescent="0.3">
      <c r="N76" s="6">
        <v>10</v>
      </c>
      <c r="O76" s="6">
        <v>9.8000000000000007</v>
      </c>
      <c r="P76" s="6">
        <v>9.8000000000000007</v>
      </c>
      <c r="R76" s="7">
        <v>36</v>
      </c>
      <c r="S76" s="7">
        <v>49.5</v>
      </c>
      <c r="T76" s="7">
        <v>47.6</v>
      </c>
    </row>
    <row r="77" spans="14:20" x14ac:dyDescent="0.3">
      <c r="N77" s="8">
        <v>9.1</v>
      </c>
      <c r="O77" s="8">
        <v>7.1</v>
      </c>
      <c r="P77" s="8">
        <v>9.6</v>
      </c>
      <c r="R77" s="9">
        <v>41.9</v>
      </c>
      <c r="S77" s="9">
        <v>52.2</v>
      </c>
      <c r="T77" s="9">
        <v>43.4</v>
      </c>
    </row>
    <row r="78" spans="14:20" x14ac:dyDescent="0.3">
      <c r="N78" s="6">
        <v>10</v>
      </c>
      <c r="O78" s="6">
        <v>9.4</v>
      </c>
      <c r="P78" s="6">
        <v>9.1999999999999993</v>
      </c>
      <c r="R78" s="7">
        <v>50.2</v>
      </c>
      <c r="S78" s="7">
        <v>49.8</v>
      </c>
      <c r="T78" s="7">
        <v>54.3</v>
      </c>
    </row>
    <row r="79" spans="14:20" x14ac:dyDescent="0.3">
      <c r="N79" s="8">
        <v>10</v>
      </c>
      <c r="O79" s="8">
        <v>5.0999999999999996</v>
      </c>
      <c r="P79" s="8">
        <v>9.1999999999999993</v>
      </c>
      <c r="R79" s="9">
        <v>48.3</v>
      </c>
      <c r="S79" s="9">
        <v>60.8</v>
      </c>
      <c r="T79" s="9">
        <v>54.6</v>
      </c>
    </row>
    <row r="80" spans="14:20" x14ac:dyDescent="0.3">
      <c r="N80" s="6">
        <v>7</v>
      </c>
      <c r="O80" s="6">
        <v>10</v>
      </c>
      <c r="P80" s="6">
        <v>10</v>
      </c>
      <c r="R80" s="7">
        <v>62.7</v>
      </c>
      <c r="S80" s="7">
        <v>49.6</v>
      </c>
      <c r="T80" s="7">
        <v>40.6</v>
      </c>
    </row>
    <row r="81" spans="14:20" x14ac:dyDescent="0.3">
      <c r="N81" s="8">
        <v>10</v>
      </c>
      <c r="O81" s="8">
        <v>8.3000000000000007</v>
      </c>
      <c r="P81" s="8">
        <v>10</v>
      </c>
      <c r="R81" s="9">
        <v>31.8</v>
      </c>
      <c r="S81" s="9">
        <v>55.3</v>
      </c>
      <c r="T81" s="9">
        <v>32.6</v>
      </c>
    </row>
    <row r="82" spans="14:20" x14ac:dyDescent="0.3">
      <c r="N82" s="6">
        <v>10</v>
      </c>
      <c r="O82" s="6">
        <v>10</v>
      </c>
      <c r="P82" s="6">
        <v>8.4</v>
      </c>
      <c r="R82" s="7">
        <v>54.6</v>
      </c>
      <c r="S82" s="7">
        <v>40.799999999999997</v>
      </c>
      <c r="T82" s="7">
        <v>57.5</v>
      </c>
    </row>
    <row r="83" spans="14:20" x14ac:dyDescent="0.3">
      <c r="N83" s="8">
        <v>10</v>
      </c>
      <c r="O83" s="8">
        <v>6.2</v>
      </c>
      <c r="P83" s="8">
        <v>10</v>
      </c>
      <c r="R83" s="9">
        <v>36.9</v>
      </c>
      <c r="S83" s="9">
        <v>63.7</v>
      </c>
      <c r="T83" s="9">
        <v>46.8</v>
      </c>
    </row>
    <row r="84" spans="14:20" x14ac:dyDescent="0.3">
      <c r="N84" s="6">
        <v>9.3000000000000007</v>
      </c>
      <c r="O84" s="6">
        <v>3</v>
      </c>
      <c r="P84" s="6">
        <v>10</v>
      </c>
      <c r="R84" s="7">
        <v>39.1</v>
      </c>
      <c r="S84" s="7">
        <v>88.8</v>
      </c>
      <c r="T84" s="7">
        <v>46.6</v>
      </c>
    </row>
    <row r="85" spans="14:20" x14ac:dyDescent="0.3">
      <c r="N85" s="8">
        <v>6.5</v>
      </c>
      <c r="O85" s="8">
        <v>7.7</v>
      </c>
      <c r="P85" s="8">
        <v>7.4</v>
      </c>
      <c r="R85" s="9">
        <v>65.400000000000006</v>
      </c>
      <c r="S85" s="9">
        <v>54.7</v>
      </c>
      <c r="T85" s="9">
        <v>56.3</v>
      </c>
    </row>
    <row r="86" spans="14:20" x14ac:dyDescent="0.3">
      <c r="N86" s="6">
        <v>8.3000000000000007</v>
      </c>
      <c r="O86" s="6">
        <v>8</v>
      </c>
      <c r="P86" s="6">
        <v>10</v>
      </c>
      <c r="R86" s="7">
        <v>45.4</v>
      </c>
      <c r="S86" s="7">
        <v>64</v>
      </c>
      <c r="T86" s="7">
        <v>36.5</v>
      </c>
    </row>
    <row r="87" spans="14:20" x14ac:dyDescent="0.3">
      <c r="N87" s="8">
        <v>5.4</v>
      </c>
      <c r="O87" s="8">
        <v>9.6999999999999993</v>
      </c>
      <c r="P87" s="8">
        <v>7.8</v>
      </c>
      <c r="R87" s="9">
        <v>64.2</v>
      </c>
      <c r="S87" s="9">
        <v>31.4</v>
      </c>
      <c r="T87" s="9">
        <v>58.5</v>
      </c>
    </row>
    <row r="88" spans="14:20" x14ac:dyDescent="0.3">
      <c r="N88" s="6">
        <v>8.8000000000000007</v>
      </c>
      <c r="O88" s="6">
        <v>8.3000000000000007</v>
      </c>
      <c r="P88" s="6">
        <v>10</v>
      </c>
      <c r="R88" s="7">
        <v>49</v>
      </c>
      <c r="S88" s="7">
        <v>62.5</v>
      </c>
      <c r="T88" s="7">
        <v>46.3</v>
      </c>
    </row>
    <row r="89" spans="14:20" x14ac:dyDescent="0.3">
      <c r="N89" s="8">
        <v>9.3000000000000007</v>
      </c>
      <c r="O89" s="8">
        <v>8.8000000000000007</v>
      </c>
      <c r="P89" s="8">
        <v>9.5</v>
      </c>
      <c r="R89" s="9">
        <v>32.700000000000003</v>
      </c>
      <c r="S89" s="9">
        <v>46.3</v>
      </c>
      <c r="T89" s="9">
        <v>49.9</v>
      </c>
    </row>
    <row r="90" spans="14:20" x14ac:dyDescent="0.3">
      <c r="N90" s="6">
        <v>10</v>
      </c>
      <c r="O90" s="6">
        <v>8.6</v>
      </c>
      <c r="P90" s="6">
        <v>6.4</v>
      </c>
      <c r="R90" s="7">
        <v>44.1</v>
      </c>
      <c r="S90" s="7">
        <v>54.5</v>
      </c>
      <c r="T90" s="7">
        <v>69.099999999999994</v>
      </c>
    </row>
    <row r="91" spans="14:20" x14ac:dyDescent="0.3">
      <c r="N91" s="8">
        <v>8.9</v>
      </c>
      <c r="O91" s="8">
        <v>5.3</v>
      </c>
      <c r="P91" s="8">
        <v>5.2</v>
      </c>
      <c r="R91" s="9">
        <v>42.1</v>
      </c>
      <c r="S91" s="9">
        <v>67.099999999999994</v>
      </c>
      <c r="T91" s="9">
        <v>82.7</v>
      </c>
    </row>
    <row r="92" spans="14:20" x14ac:dyDescent="0.3">
      <c r="N92" s="6">
        <v>7.9</v>
      </c>
      <c r="O92" s="6">
        <v>10</v>
      </c>
      <c r="P92" s="6">
        <v>10</v>
      </c>
      <c r="R92" s="7">
        <v>60.6</v>
      </c>
      <c r="S92" s="7">
        <v>58.2</v>
      </c>
      <c r="T92" s="7">
        <v>47.9</v>
      </c>
    </row>
    <row r="93" spans="14:20" x14ac:dyDescent="0.3">
      <c r="N93" s="8">
        <v>6.8</v>
      </c>
      <c r="O93" s="8">
        <v>9</v>
      </c>
      <c r="P93" s="8">
        <v>10</v>
      </c>
      <c r="R93" s="9">
        <v>76.900000000000006</v>
      </c>
      <c r="S93" s="9">
        <v>58.6</v>
      </c>
      <c r="T93" s="9">
        <v>38.6</v>
      </c>
    </row>
    <row r="94" spans="14:20" x14ac:dyDescent="0.3">
      <c r="N94" s="6">
        <v>10</v>
      </c>
      <c r="O94" s="6">
        <v>7.4</v>
      </c>
      <c r="P94" s="6">
        <v>2.7</v>
      </c>
      <c r="R94" s="7">
        <v>59.5</v>
      </c>
      <c r="S94" s="7">
        <v>61.3</v>
      </c>
      <c r="T94" s="7">
        <v>88.9</v>
      </c>
    </row>
    <row r="95" spans="14:20" x14ac:dyDescent="0.3">
      <c r="N95" s="8">
        <v>10</v>
      </c>
      <c r="O95" s="8">
        <v>8</v>
      </c>
      <c r="P95" s="8">
        <v>10</v>
      </c>
      <c r="R95" s="9">
        <v>51.4</v>
      </c>
      <c r="S95" s="9">
        <v>58.6</v>
      </c>
      <c r="T95" s="9">
        <v>36.5</v>
      </c>
    </row>
    <row r="96" spans="14:20" x14ac:dyDescent="0.3">
      <c r="N96" s="6">
        <v>10</v>
      </c>
      <c r="O96" s="6">
        <v>7.1</v>
      </c>
      <c r="P96" s="6">
        <v>8.6</v>
      </c>
      <c r="R96" s="7">
        <v>41</v>
      </c>
      <c r="S96" s="7">
        <v>47.3</v>
      </c>
      <c r="T96" s="7">
        <v>53.2</v>
      </c>
    </row>
    <row r="97" spans="14:20" x14ac:dyDescent="0.3">
      <c r="N97" s="8">
        <v>7.6</v>
      </c>
      <c r="O97" s="8">
        <v>7.4</v>
      </c>
      <c r="P97" s="8">
        <v>7.1</v>
      </c>
      <c r="R97" s="9">
        <v>65.599999999999994</v>
      </c>
      <c r="S97" s="9">
        <v>63</v>
      </c>
      <c r="T97" s="9">
        <v>65.099999999999994</v>
      </c>
    </row>
    <row r="98" spans="14:20" x14ac:dyDescent="0.3">
      <c r="N98" s="6">
        <v>7.8</v>
      </c>
      <c r="O98" s="6">
        <v>9.5</v>
      </c>
      <c r="P98" s="6">
        <v>8.4</v>
      </c>
      <c r="R98" s="7">
        <v>65.7</v>
      </c>
      <c r="S98" s="7">
        <v>46</v>
      </c>
      <c r="T98" s="7">
        <v>50.5</v>
      </c>
    </row>
    <row r="99" spans="14:20" x14ac:dyDescent="0.3">
      <c r="N99" s="8">
        <v>7.8</v>
      </c>
      <c r="O99" s="8">
        <v>10</v>
      </c>
      <c r="P99" s="8">
        <v>7.4</v>
      </c>
      <c r="R99" s="9">
        <v>48.1</v>
      </c>
      <c r="S99" s="9">
        <v>36.9</v>
      </c>
      <c r="T99" s="9">
        <v>60.9</v>
      </c>
    </row>
    <row r="100" spans="14:20" x14ac:dyDescent="0.3">
      <c r="N100" s="6">
        <v>8.4</v>
      </c>
      <c r="O100" s="6">
        <v>10</v>
      </c>
      <c r="P100" s="6">
        <v>6.9</v>
      </c>
      <c r="R100" s="7">
        <v>52.2</v>
      </c>
      <c r="S100" s="7">
        <v>34.799999999999997</v>
      </c>
      <c r="T100" s="7">
        <v>58.3</v>
      </c>
    </row>
    <row r="101" spans="14:20" x14ac:dyDescent="0.3">
      <c r="N101" s="8">
        <v>10</v>
      </c>
      <c r="O101" s="8">
        <v>10</v>
      </c>
      <c r="P101" s="8">
        <v>10</v>
      </c>
      <c r="R101" s="9">
        <v>39.799999999999997</v>
      </c>
      <c r="S101" s="9">
        <v>45</v>
      </c>
      <c r="T101" s="9">
        <v>43.6</v>
      </c>
    </row>
    <row r="102" spans="14:20" x14ac:dyDescent="0.3">
      <c r="N102" s="6">
        <v>6.8</v>
      </c>
      <c r="O102" s="6">
        <v>10</v>
      </c>
      <c r="P102" s="6">
        <v>9.3000000000000007</v>
      </c>
      <c r="R102" s="7">
        <v>49</v>
      </c>
      <c r="S102" s="7">
        <v>44.3</v>
      </c>
      <c r="T102" s="7">
        <v>56.2</v>
      </c>
    </row>
    <row r="103" spans="14:20" x14ac:dyDescent="0.3">
      <c r="N103" s="8">
        <v>5.9</v>
      </c>
      <c r="O103" s="8">
        <v>10</v>
      </c>
      <c r="P103" s="8">
        <v>7.5</v>
      </c>
      <c r="R103" s="9">
        <v>62.2</v>
      </c>
      <c r="S103" s="9">
        <v>43.8</v>
      </c>
      <c r="T103" s="9">
        <v>64.599999999999994</v>
      </c>
    </row>
    <row r="104" spans="14:20" x14ac:dyDescent="0.3">
      <c r="N104" s="6">
        <v>7.7</v>
      </c>
      <c r="O104" s="6">
        <v>10</v>
      </c>
      <c r="P104" s="6">
        <v>3.9</v>
      </c>
      <c r="R104" s="7">
        <v>47.1</v>
      </c>
      <c r="S104" s="7">
        <v>50.4</v>
      </c>
      <c r="T104" s="7">
        <v>88.1</v>
      </c>
    </row>
    <row r="105" spans="14:20" x14ac:dyDescent="0.3">
      <c r="N105" s="8">
        <v>10</v>
      </c>
      <c r="O105" s="8">
        <v>9.6999999999999993</v>
      </c>
      <c r="P105" s="8">
        <v>8.4</v>
      </c>
      <c r="R105" s="9">
        <v>20.6</v>
      </c>
      <c r="S105" s="9">
        <v>34.4</v>
      </c>
      <c r="T105" s="9">
        <v>54</v>
      </c>
    </row>
    <row r="106" spans="14:20" x14ac:dyDescent="0.3">
      <c r="N106" s="6">
        <v>10</v>
      </c>
      <c r="P106" s="6">
        <v>6.3</v>
      </c>
      <c r="R106" s="7">
        <v>28.4</v>
      </c>
      <c r="T106" s="7">
        <v>75.099999999999994</v>
      </c>
    </row>
    <row r="107" spans="14:20" x14ac:dyDescent="0.3">
      <c r="N107" s="8">
        <v>10</v>
      </c>
      <c r="P107" s="8">
        <v>6.9</v>
      </c>
      <c r="R107" s="9">
        <v>42.2</v>
      </c>
      <c r="T107" s="9">
        <v>75.7</v>
      </c>
    </row>
    <row r="108" spans="14:20" x14ac:dyDescent="0.3">
      <c r="N108" s="6">
        <v>8</v>
      </c>
      <c r="P108" s="6">
        <v>10</v>
      </c>
      <c r="R108" s="7">
        <v>40.4</v>
      </c>
      <c r="T108" s="7">
        <v>30.5</v>
      </c>
    </row>
    <row r="109" spans="14:20" x14ac:dyDescent="0.3">
      <c r="N109" s="8">
        <v>10</v>
      </c>
      <c r="P109" s="8">
        <v>10</v>
      </c>
      <c r="R109" s="9">
        <v>41.9</v>
      </c>
      <c r="T109" s="9">
        <v>42.2</v>
      </c>
    </row>
    <row r="110" spans="14:20" x14ac:dyDescent="0.3">
      <c r="N110" s="6">
        <v>10</v>
      </c>
      <c r="P110" s="6">
        <v>8.6</v>
      </c>
      <c r="R110" s="7">
        <v>51.3</v>
      </c>
      <c r="T110" s="7">
        <v>59.6</v>
      </c>
    </row>
    <row r="111" spans="14:20" x14ac:dyDescent="0.3">
      <c r="N111" s="8">
        <v>7.8</v>
      </c>
      <c r="P111" s="8">
        <v>6.2</v>
      </c>
      <c r="R111" s="9">
        <v>43.6</v>
      </c>
      <c r="T111" s="9">
        <v>64.599999999999994</v>
      </c>
    </row>
    <row r="112" spans="14:20" x14ac:dyDescent="0.3">
      <c r="N112" s="6">
        <v>9.5</v>
      </c>
      <c r="P112" s="6">
        <v>8.4</v>
      </c>
      <c r="R112" s="7">
        <v>49.2</v>
      </c>
      <c r="T112" s="7">
        <v>42.4</v>
      </c>
    </row>
    <row r="113" spans="14:20" x14ac:dyDescent="0.3">
      <c r="N113" s="8">
        <v>8.6</v>
      </c>
      <c r="P113" s="8">
        <v>6.5</v>
      </c>
      <c r="R113" s="9">
        <v>40.6</v>
      </c>
      <c r="T113" s="9">
        <v>75.7</v>
      </c>
    </row>
    <row r="114" spans="14:20" x14ac:dyDescent="0.3">
      <c r="N114" s="6">
        <v>10</v>
      </c>
      <c r="P114" s="6">
        <v>7.8</v>
      </c>
      <c r="R114" s="7">
        <v>38.6</v>
      </c>
      <c r="T114" s="7">
        <v>46.8</v>
      </c>
    </row>
    <row r="115" spans="14:20" x14ac:dyDescent="0.3">
      <c r="N115" s="8">
        <v>8.6999999999999993</v>
      </c>
      <c r="P115" s="8">
        <v>5.5</v>
      </c>
      <c r="R115" s="9">
        <v>47.8</v>
      </c>
      <c r="T115" s="9">
        <v>66.900000000000006</v>
      </c>
    </row>
    <row r="116" spans="14:20" x14ac:dyDescent="0.3">
      <c r="N116" s="6">
        <v>10</v>
      </c>
      <c r="P116" s="6">
        <v>10</v>
      </c>
      <c r="R116" s="7">
        <v>41.9</v>
      </c>
      <c r="T116" s="7">
        <v>34.4</v>
      </c>
    </row>
    <row r="117" spans="14:20" x14ac:dyDescent="0.3">
      <c r="N117" s="8">
        <v>6.3</v>
      </c>
      <c r="P117" s="8">
        <v>9.8000000000000007</v>
      </c>
      <c r="R117" s="9">
        <v>60.2</v>
      </c>
      <c r="T117" s="9">
        <v>46.3</v>
      </c>
    </row>
    <row r="118" spans="14:20" x14ac:dyDescent="0.3">
      <c r="N118" s="6">
        <v>9.1</v>
      </c>
      <c r="P118" s="6">
        <v>9.1</v>
      </c>
      <c r="R118" s="7">
        <v>56.6</v>
      </c>
      <c r="T118" s="7">
        <v>48.1</v>
      </c>
    </row>
    <row r="119" spans="14:20" x14ac:dyDescent="0.3">
      <c r="N119" s="8">
        <v>9.1</v>
      </c>
      <c r="P119" s="8">
        <v>10</v>
      </c>
      <c r="R119" s="9">
        <v>49.7</v>
      </c>
      <c r="T119" s="9">
        <v>43.4</v>
      </c>
    </row>
    <row r="120" spans="14:20" x14ac:dyDescent="0.3">
      <c r="N120" s="6">
        <v>10</v>
      </c>
      <c r="P120" s="6">
        <v>10</v>
      </c>
      <c r="R120" s="7">
        <v>40.6</v>
      </c>
      <c r="T120" s="7">
        <v>38.1</v>
      </c>
    </row>
    <row r="121" spans="14:20" x14ac:dyDescent="0.3">
      <c r="N121" s="8">
        <v>10</v>
      </c>
      <c r="P121" s="8">
        <v>5</v>
      </c>
      <c r="R121" s="9">
        <v>43.6</v>
      </c>
      <c r="T121" s="9">
        <v>80.2</v>
      </c>
    </row>
    <row r="122" spans="14:20" x14ac:dyDescent="0.3">
      <c r="N122" s="6">
        <v>8.5</v>
      </c>
      <c r="P122" s="6">
        <v>6.3</v>
      </c>
      <c r="R122" s="7">
        <v>40.799999999999997</v>
      </c>
      <c r="T122" s="7">
        <v>72.7</v>
      </c>
    </row>
    <row r="123" spans="14:20" x14ac:dyDescent="0.3">
      <c r="N123" s="8">
        <v>8.1999999999999993</v>
      </c>
      <c r="P123" s="8">
        <v>8.6999999999999993</v>
      </c>
      <c r="R123" s="9">
        <v>52.5</v>
      </c>
      <c r="T123" s="9">
        <v>49.5</v>
      </c>
    </row>
    <row r="124" spans="14:20" x14ac:dyDescent="0.3">
      <c r="N124" s="6">
        <v>3.1</v>
      </c>
      <c r="P124" s="6">
        <v>8.1</v>
      </c>
      <c r="R124" s="7">
        <v>84</v>
      </c>
      <c r="T124" s="7">
        <v>62.5</v>
      </c>
    </row>
    <row r="125" spans="14:20" x14ac:dyDescent="0.3">
      <c r="N125" s="8">
        <v>10</v>
      </c>
      <c r="P125" s="8">
        <v>10</v>
      </c>
      <c r="R125" s="9">
        <v>40.5</v>
      </c>
      <c r="T125" s="9">
        <v>47.5</v>
      </c>
    </row>
    <row r="126" spans="14:20" x14ac:dyDescent="0.3">
      <c r="N126" s="6">
        <v>10</v>
      </c>
      <c r="P126" s="6">
        <v>7.8</v>
      </c>
      <c r="R126" s="7">
        <v>38.4</v>
      </c>
      <c r="T126" s="7">
        <v>53.8</v>
      </c>
    </row>
    <row r="127" spans="14:20" x14ac:dyDescent="0.3">
      <c r="N127" s="8">
        <v>8.1999999999999993</v>
      </c>
      <c r="P127" s="8">
        <v>10</v>
      </c>
      <c r="R127" s="9">
        <v>57.4</v>
      </c>
      <c r="T127" s="9">
        <v>44.8</v>
      </c>
    </row>
    <row r="128" spans="14:20" x14ac:dyDescent="0.3">
      <c r="N128" s="6">
        <v>9.9</v>
      </c>
      <c r="P128" s="6">
        <v>10</v>
      </c>
      <c r="R128" s="7">
        <v>38.4</v>
      </c>
      <c r="T128" s="7">
        <v>39.1</v>
      </c>
    </row>
    <row r="129" spans="14:20" x14ac:dyDescent="0.3">
      <c r="N129" s="8">
        <v>8.1999999999999993</v>
      </c>
      <c r="P129" s="8">
        <v>6.8</v>
      </c>
      <c r="R129" s="9">
        <v>57.1</v>
      </c>
      <c r="T129" s="9">
        <v>67.5</v>
      </c>
    </row>
    <row r="130" spans="14:20" x14ac:dyDescent="0.3">
      <c r="N130" s="6">
        <v>10</v>
      </c>
      <c r="P130" s="6">
        <v>9.1</v>
      </c>
      <c r="R130" s="7">
        <v>43.7</v>
      </c>
      <c r="T130" s="7">
        <v>39.799999999999997</v>
      </c>
    </row>
    <row r="131" spans="14:20" x14ac:dyDescent="0.3">
      <c r="N131" s="8">
        <v>10</v>
      </c>
      <c r="P131" s="8">
        <v>8.8000000000000007</v>
      </c>
      <c r="R131" s="9">
        <v>23.2</v>
      </c>
      <c r="T131" s="9">
        <v>41.1</v>
      </c>
    </row>
    <row r="132" spans="14:20" x14ac:dyDescent="0.3">
      <c r="N132" s="6">
        <v>10</v>
      </c>
      <c r="P132" s="6">
        <v>10</v>
      </c>
      <c r="R132" s="7">
        <v>34.1</v>
      </c>
      <c r="T132" s="7">
        <v>39.700000000000003</v>
      </c>
    </row>
    <row r="133" spans="14:20" x14ac:dyDescent="0.3">
      <c r="N133" s="8">
        <v>4.3</v>
      </c>
      <c r="P133" s="8">
        <v>3.8</v>
      </c>
      <c r="R133" s="9">
        <v>84.8</v>
      </c>
      <c r="T133" s="9">
        <v>67.8</v>
      </c>
    </row>
    <row r="134" spans="14:20" x14ac:dyDescent="0.3">
      <c r="N134" s="6">
        <v>10</v>
      </c>
      <c r="P134" s="6">
        <v>10</v>
      </c>
      <c r="R134" s="7">
        <v>39.6</v>
      </c>
      <c r="T134" s="7">
        <v>30.2</v>
      </c>
    </row>
    <row r="135" spans="14:20" x14ac:dyDescent="0.3">
      <c r="N135" s="8">
        <v>9.9</v>
      </c>
      <c r="P135" s="8">
        <v>7.1</v>
      </c>
      <c r="R135" s="9">
        <v>52.1</v>
      </c>
      <c r="T135" s="9">
        <v>51.9</v>
      </c>
    </row>
    <row r="136" spans="14:20" x14ac:dyDescent="0.3">
      <c r="N136" s="6">
        <v>10</v>
      </c>
      <c r="P136" s="6">
        <v>5.6</v>
      </c>
      <c r="R136" s="7">
        <v>48.6</v>
      </c>
      <c r="T136" s="7">
        <v>72.5</v>
      </c>
    </row>
    <row r="137" spans="14:20" x14ac:dyDescent="0.3">
      <c r="N137" s="8">
        <v>6.8</v>
      </c>
      <c r="P137" s="8">
        <v>8</v>
      </c>
      <c r="R137" s="9">
        <v>63.3</v>
      </c>
      <c r="T137" s="9">
        <v>56</v>
      </c>
    </row>
    <row r="138" spans="14:20" x14ac:dyDescent="0.3">
      <c r="N138" s="6">
        <v>7.4</v>
      </c>
      <c r="P138" s="6">
        <v>3.2</v>
      </c>
      <c r="R138" s="7">
        <v>54.9</v>
      </c>
      <c r="T138" s="7">
        <v>76.5</v>
      </c>
    </row>
    <row r="139" spans="14:20" x14ac:dyDescent="0.3">
      <c r="N139" s="8">
        <v>10</v>
      </c>
      <c r="P139" s="8">
        <v>6.6</v>
      </c>
      <c r="R139" s="9">
        <v>46.8</v>
      </c>
      <c r="T139" s="9">
        <v>63</v>
      </c>
    </row>
    <row r="140" spans="14:20" x14ac:dyDescent="0.3">
      <c r="N140" s="6">
        <v>10</v>
      </c>
      <c r="P140" s="6">
        <v>10</v>
      </c>
      <c r="R140" s="7">
        <v>34.1</v>
      </c>
      <c r="T140" s="7">
        <v>47.3</v>
      </c>
    </row>
    <row r="141" spans="14:20" x14ac:dyDescent="0.3">
      <c r="N141" s="8">
        <v>8.1999999999999993</v>
      </c>
      <c r="P141" s="8">
        <v>4.9000000000000004</v>
      </c>
      <c r="R141" s="9">
        <v>59.1</v>
      </c>
      <c r="T141" s="9">
        <v>81</v>
      </c>
    </row>
    <row r="142" spans="14:20" x14ac:dyDescent="0.3">
      <c r="N142" s="6">
        <v>8.6999999999999993</v>
      </c>
      <c r="P142" s="6">
        <v>9.6999999999999993</v>
      </c>
      <c r="R142" s="7">
        <v>56.5</v>
      </c>
      <c r="T142" s="7">
        <v>49.9</v>
      </c>
    </row>
    <row r="143" spans="14:20" x14ac:dyDescent="0.3">
      <c r="N143" s="8">
        <v>10</v>
      </c>
      <c r="P143" s="8">
        <v>7.8</v>
      </c>
      <c r="R143" s="9">
        <v>40.4</v>
      </c>
      <c r="T143" s="9">
        <v>51.2</v>
      </c>
    </row>
    <row r="144" spans="14:20" x14ac:dyDescent="0.3">
      <c r="N144" s="6">
        <v>10</v>
      </c>
      <c r="P144" s="6">
        <v>7.1</v>
      </c>
      <c r="R144" s="7">
        <v>33.5</v>
      </c>
      <c r="T144" s="7">
        <v>63.6</v>
      </c>
    </row>
    <row r="145" spans="14:18" x14ac:dyDescent="0.3">
      <c r="N145" s="8">
        <v>7.8</v>
      </c>
      <c r="R145" s="9">
        <v>50.4</v>
      </c>
    </row>
    <row r="146" spans="14:18" x14ac:dyDescent="0.3">
      <c r="N146" s="6">
        <v>10</v>
      </c>
      <c r="R146" s="7">
        <v>32.799999999999997</v>
      </c>
    </row>
    <row r="147" spans="14:18" x14ac:dyDescent="0.3">
      <c r="N147" s="8">
        <v>10</v>
      </c>
      <c r="R147" s="9">
        <v>36.5</v>
      </c>
    </row>
    <row r="148" spans="14:18" x14ac:dyDescent="0.3">
      <c r="N148" s="6">
        <v>10</v>
      </c>
      <c r="R148" s="7">
        <v>38.799999999999997</v>
      </c>
    </row>
    <row r="149" spans="14:18" x14ac:dyDescent="0.3">
      <c r="N149" s="8">
        <v>10</v>
      </c>
      <c r="R149" s="9">
        <v>43.5</v>
      </c>
    </row>
    <row r="150" spans="14:18" x14ac:dyDescent="0.3">
      <c r="N150" s="6">
        <v>5.9</v>
      </c>
      <c r="R150" s="7">
        <v>64.599999999999994</v>
      </c>
    </row>
    <row r="151" spans="14:18" x14ac:dyDescent="0.3">
      <c r="N151" s="8">
        <v>10</v>
      </c>
      <c r="R151" s="9">
        <v>47.4</v>
      </c>
    </row>
    <row r="152" spans="14:18" x14ac:dyDescent="0.3">
      <c r="N152" s="6">
        <v>9.4</v>
      </c>
      <c r="R152" s="7">
        <v>57.3</v>
      </c>
    </row>
    <row r="153" spans="14:18" x14ac:dyDescent="0.3">
      <c r="N153" s="8">
        <v>10</v>
      </c>
      <c r="R153" s="9">
        <v>41.4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5EC0-8117-407A-8740-DB990D496F3F}">
  <dimension ref="A1:Q391"/>
  <sheetViews>
    <sheetView topLeftCell="A28" workbookViewId="0">
      <selection activeCell="I21" sqref="I21"/>
    </sheetView>
  </sheetViews>
  <sheetFormatPr defaultRowHeight="14" x14ac:dyDescent="0.3"/>
  <cols>
    <col min="1" max="1" width="10.75" bestFit="1" customWidth="1"/>
    <col min="2" max="2" width="19" bestFit="1" customWidth="1"/>
    <col min="3" max="3" width="19.25" bestFit="1" customWidth="1"/>
    <col min="4" max="4" width="21" bestFit="1" customWidth="1"/>
    <col min="5" max="5" width="18.83203125" bestFit="1" customWidth="1"/>
    <col min="7" max="7" width="19.75" customWidth="1"/>
    <col min="8" max="8" width="12.75" customWidth="1"/>
    <col min="9" max="9" width="15.4140625" customWidth="1"/>
    <col min="11" max="11" width="15.75" customWidth="1"/>
  </cols>
  <sheetData>
    <row r="1" spans="1:11" x14ac:dyDescent="0.3">
      <c r="A1" t="s">
        <v>0</v>
      </c>
      <c r="B1" t="s">
        <v>5</v>
      </c>
      <c r="C1" t="s">
        <v>6</v>
      </c>
      <c r="D1" t="s">
        <v>7</v>
      </c>
      <c r="E1" t="s">
        <v>11</v>
      </c>
    </row>
    <row r="2" spans="1:11" x14ac:dyDescent="0.3">
      <c r="A2" t="s">
        <v>15</v>
      </c>
      <c r="B2">
        <v>10.79</v>
      </c>
      <c r="C2">
        <v>5.44</v>
      </c>
      <c r="D2">
        <v>5.35</v>
      </c>
      <c r="E2">
        <v>44.7</v>
      </c>
      <c r="G2" t="s">
        <v>493</v>
      </c>
    </row>
    <row r="3" spans="1:11" x14ac:dyDescent="0.3">
      <c r="A3" t="s">
        <v>19</v>
      </c>
      <c r="B3">
        <v>7.4</v>
      </c>
      <c r="C3">
        <v>0.37</v>
      </c>
      <c r="D3">
        <v>7.03</v>
      </c>
      <c r="E3">
        <v>78</v>
      </c>
      <c r="G3" t="s">
        <v>447</v>
      </c>
      <c r="H3">
        <f>_xlfn.QUARTILE.INC(B:B,1)</f>
        <v>7.4124999999999996</v>
      </c>
      <c r="J3" t="s">
        <v>448</v>
      </c>
      <c r="K3">
        <f xml:space="preserve"> H4+1.5*H5</f>
        <v>15.075000000000003</v>
      </c>
    </row>
    <row r="4" spans="1:11" x14ac:dyDescent="0.3">
      <c r="A4" t="s">
        <v>21</v>
      </c>
      <c r="B4">
        <v>9.7799999999999994</v>
      </c>
      <c r="C4">
        <v>1.0900000000000001</v>
      </c>
      <c r="D4">
        <v>8.69</v>
      </c>
      <c r="E4">
        <v>51.8</v>
      </c>
      <c r="G4" t="s">
        <v>449</v>
      </c>
      <c r="H4">
        <f>_xlfn.QUARTILE.INC(B:B,3)</f>
        <v>10.477500000000001</v>
      </c>
      <c r="J4" t="s">
        <v>450</v>
      </c>
      <c r="K4">
        <f>H3-1.5*H5</f>
        <v>2.8149999999999977</v>
      </c>
    </row>
    <row r="5" spans="1:11" x14ac:dyDescent="0.3">
      <c r="A5" t="s">
        <v>23</v>
      </c>
      <c r="B5">
        <v>11.13</v>
      </c>
      <c r="C5">
        <v>0.56000000000000005</v>
      </c>
      <c r="D5">
        <v>10.57</v>
      </c>
      <c r="E5">
        <v>37</v>
      </c>
      <c r="G5" t="s">
        <v>451</v>
      </c>
      <c r="H5">
        <f>H4-H3</f>
        <v>3.0650000000000013</v>
      </c>
    </row>
    <row r="6" spans="1:11" x14ac:dyDescent="0.3">
      <c r="A6" t="s">
        <v>25</v>
      </c>
      <c r="B6">
        <v>13.22</v>
      </c>
      <c r="C6">
        <v>4.09</v>
      </c>
      <c r="D6">
        <v>9.1300000000000008</v>
      </c>
      <c r="E6">
        <v>38.5</v>
      </c>
    </row>
    <row r="7" spans="1:11" x14ac:dyDescent="0.3">
      <c r="A7" t="s">
        <v>27</v>
      </c>
      <c r="B7">
        <v>9.83</v>
      </c>
      <c r="C7">
        <v>0.53</v>
      </c>
      <c r="D7">
        <v>9.3000000000000007</v>
      </c>
      <c r="E7">
        <v>44</v>
      </c>
      <c r="G7" t="s">
        <v>494</v>
      </c>
      <c r="H7" t="s">
        <v>495</v>
      </c>
    </row>
    <row r="8" spans="1:11" x14ac:dyDescent="0.3">
      <c r="A8" t="s">
        <v>30</v>
      </c>
      <c r="B8">
        <v>6.02</v>
      </c>
      <c r="C8">
        <v>2.82</v>
      </c>
      <c r="D8">
        <v>3.2</v>
      </c>
      <c r="E8">
        <v>64.8</v>
      </c>
      <c r="G8" t="s">
        <v>144</v>
      </c>
      <c r="H8" t="s">
        <v>496</v>
      </c>
      <c r="I8" t="s">
        <v>497</v>
      </c>
    </row>
    <row r="9" spans="1:11" x14ac:dyDescent="0.3">
      <c r="A9" t="s">
        <v>32</v>
      </c>
      <c r="B9">
        <v>6.21</v>
      </c>
      <c r="C9">
        <v>0.75</v>
      </c>
      <c r="D9">
        <v>5.46</v>
      </c>
      <c r="E9">
        <v>87</v>
      </c>
      <c r="G9" s="18" t="s">
        <v>181</v>
      </c>
      <c r="H9" t="s">
        <v>498</v>
      </c>
      <c r="I9" t="s">
        <v>499</v>
      </c>
    </row>
    <row r="10" spans="1:11" x14ac:dyDescent="0.3">
      <c r="A10" t="s">
        <v>33</v>
      </c>
      <c r="B10">
        <v>6.28</v>
      </c>
      <c r="C10">
        <v>0.67</v>
      </c>
      <c r="D10">
        <v>5.61</v>
      </c>
      <c r="E10">
        <v>91.7</v>
      </c>
      <c r="G10" s="18" t="s">
        <v>205</v>
      </c>
      <c r="H10" t="s">
        <v>498</v>
      </c>
      <c r="I10" t="s">
        <v>500</v>
      </c>
    </row>
    <row r="11" spans="1:11" x14ac:dyDescent="0.3">
      <c r="A11" t="s">
        <v>34</v>
      </c>
      <c r="B11">
        <v>9.3699999999999992</v>
      </c>
      <c r="C11">
        <v>0.84</v>
      </c>
      <c r="D11">
        <v>8.5299999999999994</v>
      </c>
      <c r="E11">
        <v>42.2</v>
      </c>
      <c r="G11" s="18" t="s">
        <v>243</v>
      </c>
      <c r="H11" t="s">
        <v>498</v>
      </c>
      <c r="I11" t="s">
        <v>501</v>
      </c>
    </row>
    <row r="12" spans="1:11" x14ac:dyDescent="0.3">
      <c r="A12" t="s">
        <v>35</v>
      </c>
      <c r="B12">
        <v>9.8699999999999992</v>
      </c>
      <c r="C12">
        <v>3.02</v>
      </c>
      <c r="D12">
        <v>6.85</v>
      </c>
      <c r="E12">
        <v>55.9</v>
      </c>
      <c r="G12" s="18" t="s">
        <v>283</v>
      </c>
      <c r="H12" t="s">
        <v>502</v>
      </c>
      <c r="I12" t="s">
        <v>503</v>
      </c>
    </row>
    <row r="13" spans="1:11" x14ac:dyDescent="0.3">
      <c r="A13" t="s">
        <v>36</v>
      </c>
      <c r="B13">
        <v>4.96</v>
      </c>
      <c r="C13">
        <v>0.25</v>
      </c>
      <c r="D13">
        <v>4.71</v>
      </c>
      <c r="E13">
        <v>88.4</v>
      </c>
      <c r="G13" s="18" t="s">
        <v>301</v>
      </c>
      <c r="H13" t="s">
        <v>502</v>
      </c>
      <c r="I13" t="s">
        <v>504</v>
      </c>
    </row>
    <row r="14" spans="1:11" x14ac:dyDescent="0.3">
      <c r="A14" t="s">
        <v>38</v>
      </c>
      <c r="B14">
        <v>12.55</v>
      </c>
      <c r="C14">
        <v>6.8</v>
      </c>
      <c r="D14">
        <v>5.75</v>
      </c>
      <c r="E14">
        <v>33</v>
      </c>
      <c r="G14" s="19" t="s">
        <v>310</v>
      </c>
      <c r="H14" t="s">
        <v>502</v>
      </c>
      <c r="I14" t="s">
        <v>497</v>
      </c>
    </row>
    <row r="15" spans="1:11" x14ac:dyDescent="0.3">
      <c r="A15" t="s">
        <v>39</v>
      </c>
      <c r="B15">
        <v>7.86</v>
      </c>
      <c r="C15">
        <v>4.33</v>
      </c>
      <c r="D15">
        <v>3.53</v>
      </c>
      <c r="E15">
        <v>70.7</v>
      </c>
      <c r="G15" s="18" t="s">
        <v>377</v>
      </c>
      <c r="H15" t="s">
        <v>502</v>
      </c>
      <c r="I15" t="s">
        <v>505</v>
      </c>
    </row>
    <row r="16" spans="1:11" x14ac:dyDescent="0.3">
      <c r="A16" t="s">
        <v>40</v>
      </c>
      <c r="B16">
        <v>9.07</v>
      </c>
      <c r="C16">
        <v>0.79</v>
      </c>
      <c r="D16">
        <v>8.2799999999999994</v>
      </c>
      <c r="E16">
        <v>53.2</v>
      </c>
    </row>
    <row r="17" spans="1:11" x14ac:dyDescent="0.3">
      <c r="A17" t="s">
        <v>41</v>
      </c>
      <c r="B17">
        <v>13.49</v>
      </c>
      <c r="C17">
        <v>2.82</v>
      </c>
      <c r="D17">
        <v>10.67</v>
      </c>
      <c r="E17">
        <v>37.6</v>
      </c>
    </row>
    <row r="18" spans="1:11" x14ac:dyDescent="0.3">
      <c r="A18" t="s">
        <v>42</v>
      </c>
      <c r="B18">
        <v>8.86</v>
      </c>
      <c r="C18">
        <v>0.82</v>
      </c>
      <c r="D18">
        <v>8.0399999999999991</v>
      </c>
      <c r="E18">
        <v>60.3</v>
      </c>
    </row>
    <row r="19" spans="1:11" x14ac:dyDescent="0.3">
      <c r="A19" t="s">
        <v>43</v>
      </c>
      <c r="B19">
        <v>7.13</v>
      </c>
      <c r="C19">
        <v>0.82</v>
      </c>
      <c r="D19">
        <v>6.31</v>
      </c>
      <c r="E19">
        <v>49</v>
      </c>
      <c r="G19" s="20" t="s">
        <v>452</v>
      </c>
      <c r="H19" s="20"/>
      <c r="I19" s="20"/>
      <c r="J19" s="20"/>
      <c r="K19" s="20"/>
    </row>
    <row r="20" spans="1:11" x14ac:dyDescent="0.3">
      <c r="A20" t="s">
        <v>44</v>
      </c>
      <c r="B20">
        <v>8.18</v>
      </c>
      <c r="C20">
        <v>0.7</v>
      </c>
      <c r="D20">
        <v>7.48</v>
      </c>
      <c r="E20">
        <v>85.1</v>
      </c>
      <c r="G20" s="20" t="s">
        <v>447</v>
      </c>
      <c r="H20" s="20">
        <f>_xlfn.QUARTILE.INC(E:E,1)</f>
        <v>43.625</v>
      </c>
      <c r="I20" s="20"/>
      <c r="J20" s="20" t="s">
        <v>448</v>
      </c>
      <c r="K20" s="20">
        <f>H21+1.5*H22</f>
        <v>90.4375</v>
      </c>
    </row>
    <row r="21" spans="1:11" x14ac:dyDescent="0.3">
      <c r="A21" t="s">
        <v>45</v>
      </c>
      <c r="B21">
        <v>10.26</v>
      </c>
      <c r="C21">
        <v>5.73</v>
      </c>
      <c r="D21">
        <v>4.53</v>
      </c>
      <c r="E21">
        <v>52</v>
      </c>
      <c r="G21" s="20" t="s">
        <v>449</v>
      </c>
      <c r="H21" s="20">
        <f>_xlfn.QUARTILE.INC(E:E,3)</f>
        <v>62.35</v>
      </c>
      <c r="I21" s="20"/>
      <c r="J21" s="20" t="s">
        <v>450</v>
      </c>
      <c r="K21" s="20">
        <f>H20-1.5*H22</f>
        <v>15.537499999999998</v>
      </c>
    </row>
    <row r="22" spans="1:11" x14ac:dyDescent="0.3">
      <c r="A22" t="s">
        <v>46</v>
      </c>
      <c r="B22">
        <v>10.14</v>
      </c>
      <c r="C22">
        <v>3.29</v>
      </c>
      <c r="D22">
        <v>6.85</v>
      </c>
      <c r="E22">
        <v>48.1</v>
      </c>
      <c r="G22" s="20" t="s">
        <v>451</v>
      </c>
      <c r="H22" s="20">
        <f>H21-H20</f>
        <v>18.725000000000001</v>
      </c>
      <c r="I22" s="20"/>
      <c r="J22" s="20"/>
      <c r="K22" s="20"/>
    </row>
    <row r="23" spans="1:11" x14ac:dyDescent="0.3">
      <c r="A23" t="s">
        <v>47</v>
      </c>
      <c r="B23">
        <v>7.52</v>
      </c>
      <c r="C23">
        <v>2.89</v>
      </c>
      <c r="D23">
        <v>4.63</v>
      </c>
      <c r="E23">
        <v>53.1</v>
      </c>
    </row>
    <row r="24" spans="1:11" x14ac:dyDescent="0.3">
      <c r="A24" t="s">
        <v>48</v>
      </c>
      <c r="B24">
        <v>7.67</v>
      </c>
      <c r="C24">
        <v>1.65</v>
      </c>
      <c r="D24">
        <v>6.02</v>
      </c>
      <c r="E24">
        <v>76.400000000000006</v>
      </c>
      <c r="G24" s="20" t="s">
        <v>494</v>
      </c>
    </row>
    <row r="25" spans="1:11" x14ac:dyDescent="0.3">
      <c r="A25" t="s">
        <v>49</v>
      </c>
      <c r="B25">
        <v>5.74</v>
      </c>
      <c r="C25">
        <v>2.33</v>
      </c>
      <c r="D25">
        <v>3.41</v>
      </c>
      <c r="E25">
        <v>77.3</v>
      </c>
      <c r="G25" s="19" t="s">
        <v>120</v>
      </c>
    </row>
    <row r="26" spans="1:11" x14ac:dyDescent="0.3">
      <c r="A26" t="s">
        <v>50</v>
      </c>
      <c r="B26">
        <v>8.93</v>
      </c>
      <c r="C26">
        <v>0.45</v>
      </c>
      <c r="D26">
        <v>8.48</v>
      </c>
      <c r="E26">
        <v>50.3</v>
      </c>
      <c r="G26" s="19" t="s">
        <v>144</v>
      </c>
    </row>
    <row r="27" spans="1:11" x14ac:dyDescent="0.3">
      <c r="A27" t="s">
        <v>51</v>
      </c>
      <c r="B27">
        <v>7.05</v>
      </c>
      <c r="C27">
        <v>0.8</v>
      </c>
      <c r="D27">
        <v>6.25</v>
      </c>
      <c r="E27">
        <v>51</v>
      </c>
      <c r="G27" s="19" t="s">
        <v>172</v>
      </c>
    </row>
    <row r="28" spans="1:11" x14ac:dyDescent="0.3">
      <c r="A28" t="s">
        <v>52</v>
      </c>
      <c r="B28">
        <v>11.3</v>
      </c>
      <c r="C28">
        <v>5.17</v>
      </c>
      <c r="D28">
        <v>6.13</v>
      </c>
      <c r="E28">
        <v>53.3</v>
      </c>
      <c r="G28" s="19" t="s">
        <v>242</v>
      </c>
    </row>
    <row r="29" spans="1:11" x14ac:dyDescent="0.3">
      <c r="A29" t="s">
        <v>53</v>
      </c>
      <c r="B29">
        <v>6.61</v>
      </c>
      <c r="C29">
        <v>0.33</v>
      </c>
      <c r="D29">
        <v>6.28</v>
      </c>
      <c r="E29">
        <v>60</v>
      </c>
      <c r="G29" s="18" t="s">
        <v>283</v>
      </c>
    </row>
    <row r="30" spans="1:11" x14ac:dyDescent="0.3">
      <c r="A30" t="s">
        <v>54</v>
      </c>
      <c r="B30">
        <v>7.43</v>
      </c>
      <c r="C30">
        <v>0.73</v>
      </c>
      <c r="D30">
        <v>6.7</v>
      </c>
      <c r="E30">
        <v>61.1</v>
      </c>
      <c r="G30" s="18" t="s">
        <v>377</v>
      </c>
    </row>
    <row r="31" spans="1:11" x14ac:dyDescent="0.3">
      <c r="A31" t="s">
        <v>55</v>
      </c>
      <c r="B31">
        <v>9.57</v>
      </c>
      <c r="C31">
        <v>0.48</v>
      </c>
      <c r="D31">
        <v>9.09</v>
      </c>
      <c r="E31">
        <v>38</v>
      </c>
      <c r="G31" s="18" t="s">
        <v>409</v>
      </c>
    </row>
    <row r="32" spans="1:11" ht="14.5" thickBot="1" x14ac:dyDescent="0.35">
      <c r="A32" t="s">
        <v>56</v>
      </c>
      <c r="B32">
        <v>6.37</v>
      </c>
      <c r="C32">
        <v>0.78</v>
      </c>
      <c r="D32">
        <v>5.59</v>
      </c>
      <c r="E32">
        <v>52.1</v>
      </c>
    </row>
    <row r="33" spans="1:17" x14ac:dyDescent="0.3">
      <c r="A33" t="s">
        <v>57</v>
      </c>
      <c r="B33">
        <v>14.35</v>
      </c>
      <c r="C33">
        <v>7.54</v>
      </c>
      <c r="D33">
        <v>6.81</v>
      </c>
      <c r="E33">
        <v>42.6</v>
      </c>
      <c r="G33" s="3" t="s">
        <v>5</v>
      </c>
      <c r="H33" s="3"/>
      <c r="J33" s="3" t="s">
        <v>6</v>
      </c>
      <c r="K33" s="3"/>
      <c r="M33" s="3" t="s">
        <v>7</v>
      </c>
      <c r="N33" s="3"/>
      <c r="P33" s="3" t="s">
        <v>11</v>
      </c>
      <c r="Q33" s="3"/>
    </row>
    <row r="34" spans="1:17" x14ac:dyDescent="0.3">
      <c r="A34" t="s">
        <v>58</v>
      </c>
      <c r="B34">
        <v>6.89</v>
      </c>
      <c r="C34">
        <v>1.25</v>
      </c>
      <c r="D34">
        <v>5.64</v>
      </c>
      <c r="E34">
        <v>60.3</v>
      </c>
    </row>
    <row r="35" spans="1:17" x14ac:dyDescent="0.3">
      <c r="A35" t="s">
        <v>59</v>
      </c>
      <c r="B35">
        <v>11.38</v>
      </c>
      <c r="C35">
        <v>0.56999999999999995</v>
      </c>
      <c r="D35">
        <v>10.81</v>
      </c>
      <c r="E35">
        <v>57</v>
      </c>
      <c r="G35" t="s">
        <v>434</v>
      </c>
      <c r="H35">
        <v>9.109262086513997</v>
      </c>
      <c r="J35" t="s">
        <v>434</v>
      </c>
      <c r="K35">
        <v>2.2131552162849863</v>
      </c>
      <c r="M35" t="s">
        <v>434</v>
      </c>
      <c r="N35">
        <v>6.896106870229004</v>
      </c>
      <c r="P35" t="s">
        <v>434</v>
      </c>
      <c r="Q35">
        <v>53.518829516539419</v>
      </c>
    </row>
    <row r="36" spans="1:17" x14ac:dyDescent="0.3">
      <c r="A36" t="s">
        <v>60</v>
      </c>
      <c r="B36">
        <v>13.05</v>
      </c>
      <c r="C36">
        <v>0.65</v>
      </c>
      <c r="D36">
        <v>12.4</v>
      </c>
      <c r="E36">
        <v>39.6</v>
      </c>
      <c r="G36" t="s">
        <v>435</v>
      </c>
      <c r="H36">
        <v>0.12124405138133355</v>
      </c>
      <c r="J36" t="s">
        <v>435</v>
      </c>
      <c r="K36">
        <v>9.7583664520860369E-2</v>
      </c>
      <c r="M36" t="s">
        <v>435</v>
      </c>
      <c r="N36">
        <v>0.10994819859247712</v>
      </c>
      <c r="P36" t="s">
        <v>435</v>
      </c>
      <c r="Q36">
        <v>0.7026414595311673</v>
      </c>
    </row>
    <row r="37" spans="1:17" x14ac:dyDescent="0.3">
      <c r="A37" t="s">
        <v>61</v>
      </c>
      <c r="B37">
        <v>7.47</v>
      </c>
      <c r="C37">
        <v>3.01</v>
      </c>
      <c r="D37">
        <v>4.46</v>
      </c>
      <c r="E37">
        <v>53.6</v>
      </c>
      <c r="G37" t="s">
        <v>436</v>
      </c>
      <c r="H37">
        <v>9.1300000000000008</v>
      </c>
      <c r="J37" t="s">
        <v>436</v>
      </c>
      <c r="K37">
        <v>1.48</v>
      </c>
      <c r="M37" t="s">
        <v>436</v>
      </c>
      <c r="N37">
        <v>6.71</v>
      </c>
      <c r="P37" t="s">
        <v>436</v>
      </c>
      <c r="Q37">
        <v>51.5</v>
      </c>
    </row>
    <row r="38" spans="1:17" x14ac:dyDescent="0.3">
      <c r="A38" t="s">
        <v>62</v>
      </c>
      <c r="B38">
        <v>9.93</v>
      </c>
      <c r="C38">
        <v>1.89</v>
      </c>
      <c r="D38">
        <v>8.0399999999999991</v>
      </c>
      <c r="E38">
        <v>45.7</v>
      </c>
      <c r="G38" t="s">
        <v>437</v>
      </c>
      <c r="H38">
        <v>10.130000000000001</v>
      </c>
      <c r="J38" t="s">
        <v>437</v>
      </c>
      <c r="K38">
        <v>0.67</v>
      </c>
      <c r="M38" t="s">
        <v>437</v>
      </c>
      <c r="N38">
        <v>6.28</v>
      </c>
      <c r="P38" t="s">
        <v>437</v>
      </c>
      <c r="Q38">
        <v>50.4</v>
      </c>
    </row>
    <row r="39" spans="1:17" x14ac:dyDescent="0.3">
      <c r="A39" t="s">
        <v>63</v>
      </c>
      <c r="B39">
        <v>8.08</v>
      </c>
      <c r="C39">
        <v>1.25</v>
      </c>
      <c r="D39">
        <v>6.83</v>
      </c>
      <c r="E39">
        <v>68.099999999999994</v>
      </c>
      <c r="G39" t="s">
        <v>438</v>
      </c>
      <c r="H39">
        <v>2.4035696699235212</v>
      </c>
      <c r="J39" t="s">
        <v>438</v>
      </c>
      <c r="K39">
        <v>1.9345207756596181</v>
      </c>
      <c r="M39" t="s">
        <v>438</v>
      </c>
      <c r="N39">
        <v>2.1796381132830742</v>
      </c>
      <c r="P39" t="s">
        <v>438</v>
      </c>
      <c r="Q39">
        <v>13.929324216065581</v>
      </c>
    </row>
    <row r="40" spans="1:17" x14ac:dyDescent="0.3">
      <c r="A40" t="s">
        <v>64</v>
      </c>
      <c r="B40">
        <v>7.88</v>
      </c>
      <c r="C40">
        <v>0.39</v>
      </c>
      <c r="D40">
        <v>7.49</v>
      </c>
      <c r="E40">
        <v>49.8</v>
      </c>
      <c r="G40" t="s">
        <v>439</v>
      </c>
      <c r="H40">
        <v>5.7771471581762652</v>
      </c>
      <c r="J40" t="s">
        <v>439</v>
      </c>
      <c r="K40">
        <v>3.7423706314586904</v>
      </c>
      <c r="M40" t="s">
        <v>439</v>
      </c>
      <c r="N40">
        <v>4.7508223048762002</v>
      </c>
      <c r="P40" t="s">
        <v>439</v>
      </c>
      <c r="Q40">
        <v>194.02607311627099</v>
      </c>
    </row>
    <row r="41" spans="1:17" x14ac:dyDescent="0.3">
      <c r="A41" t="s">
        <v>65</v>
      </c>
      <c r="B41">
        <v>8.81</v>
      </c>
      <c r="C41">
        <v>3.92</v>
      </c>
      <c r="D41">
        <v>4.8899999999999997</v>
      </c>
      <c r="E41">
        <v>51.6</v>
      </c>
      <c r="G41" t="s">
        <v>440</v>
      </c>
      <c r="H41">
        <v>0.48715582197469454</v>
      </c>
      <c r="J41" t="s">
        <v>440</v>
      </c>
      <c r="K41">
        <v>1.4645552113504832</v>
      </c>
      <c r="M41" t="s">
        <v>440</v>
      </c>
      <c r="N41">
        <v>-0.18418645566237313</v>
      </c>
      <c r="P41" t="s">
        <v>440</v>
      </c>
      <c r="Q41">
        <v>-0.14719292000934603</v>
      </c>
    </row>
    <row r="42" spans="1:17" x14ac:dyDescent="0.3">
      <c r="A42" t="s">
        <v>66</v>
      </c>
      <c r="B42">
        <v>5.65</v>
      </c>
      <c r="C42">
        <v>0.36</v>
      </c>
      <c r="D42">
        <v>5.29</v>
      </c>
      <c r="E42">
        <v>67.400000000000006</v>
      </c>
      <c r="G42" t="s">
        <v>441</v>
      </c>
      <c r="H42">
        <v>0.25727037753795035</v>
      </c>
      <c r="J42" t="s">
        <v>441</v>
      </c>
      <c r="K42">
        <v>1.301798174905473</v>
      </c>
      <c r="M42" t="s">
        <v>441</v>
      </c>
      <c r="N42">
        <v>0.19479373303889772</v>
      </c>
      <c r="P42" t="s">
        <v>441</v>
      </c>
      <c r="Q42">
        <v>0.50425204372568244</v>
      </c>
    </row>
    <row r="43" spans="1:17" x14ac:dyDescent="0.3">
      <c r="A43" t="s">
        <v>67</v>
      </c>
      <c r="B43">
        <v>9.31</v>
      </c>
      <c r="C43">
        <v>0.65</v>
      </c>
      <c r="D43">
        <v>8.66</v>
      </c>
      <c r="E43">
        <v>51.7</v>
      </c>
      <c r="G43" t="s">
        <v>442</v>
      </c>
      <c r="H43">
        <v>16.73</v>
      </c>
      <c r="J43" t="s">
        <v>442</v>
      </c>
      <c r="K43">
        <v>11.829999999999998</v>
      </c>
      <c r="M43" t="s">
        <v>442</v>
      </c>
      <c r="N43">
        <v>11.66</v>
      </c>
      <c r="P43" t="s">
        <v>442</v>
      </c>
      <c r="Q43">
        <v>71.099999999999994</v>
      </c>
    </row>
    <row r="44" spans="1:17" x14ac:dyDescent="0.3">
      <c r="A44" t="s">
        <v>68</v>
      </c>
      <c r="B44">
        <v>7.72</v>
      </c>
      <c r="C44">
        <v>5.52</v>
      </c>
      <c r="D44">
        <v>2.2000000000000002</v>
      </c>
      <c r="E44">
        <v>77.7</v>
      </c>
      <c r="G44" t="s">
        <v>443</v>
      </c>
      <c r="H44">
        <v>2.44</v>
      </c>
      <c r="J44" t="s">
        <v>443</v>
      </c>
      <c r="K44">
        <v>0.21</v>
      </c>
      <c r="M44" t="s">
        <v>443</v>
      </c>
      <c r="N44">
        <v>1.69</v>
      </c>
      <c r="P44" t="s">
        <v>443</v>
      </c>
      <c r="Q44">
        <v>20.6</v>
      </c>
    </row>
    <row r="45" spans="1:17" x14ac:dyDescent="0.3">
      <c r="A45" t="s">
        <v>69</v>
      </c>
      <c r="B45">
        <v>11.81</v>
      </c>
      <c r="C45">
        <v>4.6399999999999997</v>
      </c>
      <c r="D45">
        <v>7.17</v>
      </c>
      <c r="E45">
        <v>37.6</v>
      </c>
      <c r="G45" t="s">
        <v>444</v>
      </c>
      <c r="H45">
        <v>19.170000000000002</v>
      </c>
      <c r="J45" t="s">
        <v>444</v>
      </c>
      <c r="K45">
        <v>12.04</v>
      </c>
      <c r="M45" t="s">
        <v>444</v>
      </c>
      <c r="N45">
        <v>13.35</v>
      </c>
      <c r="P45" t="s">
        <v>444</v>
      </c>
      <c r="Q45">
        <v>91.7</v>
      </c>
    </row>
    <row r="46" spans="1:17" x14ac:dyDescent="0.3">
      <c r="A46" t="s">
        <v>70</v>
      </c>
      <c r="B46">
        <v>6.71</v>
      </c>
      <c r="C46">
        <v>0.74</v>
      </c>
      <c r="D46">
        <v>5.97</v>
      </c>
      <c r="E46">
        <v>58.8</v>
      </c>
      <c r="G46" t="s">
        <v>445</v>
      </c>
      <c r="H46">
        <v>3579.9400000000005</v>
      </c>
      <c r="J46" t="s">
        <v>445</v>
      </c>
      <c r="K46">
        <v>869.76999999999964</v>
      </c>
      <c r="M46" t="s">
        <v>445</v>
      </c>
      <c r="N46">
        <v>2710.1699999999987</v>
      </c>
      <c r="P46" t="s">
        <v>445</v>
      </c>
      <c r="Q46">
        <v>21032.899999999991</v>
      </c>
    </row>
    <row r="47" spans="1:17" ht="14.5" thickBot="1" x14ac:dyDescent="0.35">
      <c r="A47" t="s">
        <v>71</v>
      </c>
      <c r="B47">
        <v>6.1</v>
      </c>
      <c r="C47">
        <v>1.57</v>
      </c>
      <c r="D47">
        <v>4.53</v>
      </c>
      <c r="E47">
        <v>79.599999999999994</v>
      </c>
      <c r="G47" s="1" t="s">
        <v>446</v>
      </c>
      <c r="H47" s="1">
        <v>393</v>
      </c>
      <c r="J47" s="1" t="s">
        <v>446</v>
      </c>
      <c r="K47" s="1">
        <v>393</v>
      </c>
      <c r="M47" s="1" t="s">
        <v>446</v>
      </c>
      <c r="N47" s="1">
        <v>393</v>
      </c>
      <c r="P47" s="1" t="s">
        <v>446</v>
      </c>
      <c r="Q47" s="1">
        <v>393</v>
      </c>
    </row>
    <row r="48" spans="1:17" x14ac:dyDescent="0.3">
      <c r="A48" t="s">
        <v>72</v>
      </c>
      <c r="B48">
        <v>7.46</v>
      </c>
      <c r="C48">
        <v>1.45</v>
      </c>
      <c r="D48">
        <v>6.01</v>
      </c>
      <c r="E48">
        <v>49.2</v>
      </c>
    </row>
    <row r="49" spans="1:11" ht="14.5" thickBot="1" x14ac:dyDescent="0.35">
      <c r="A49" t="s">
        <v>73</v>
      </c>
      <c r="B49">
        <v>14.22</v>
      </c>
      <c r="C49">
        <v>7.52</v>
      </c>
      <c r="D49">
        <v>6.7</v>
      </c>
      <c r="E49">
        <v>34.799999999999997</v>
      </c>
    </row>
    <row r="50" spans="1:11" x14ac:dyDescent="0.3">
      <c r="A50" t="s">
        <v>74</v>
      </c>
      <c r="B50">
        <v>9.93</v>
      </c>
      <c r="C50">
        <v>3.77</v>
      </c>
      <c r="D50">
        <v>6.16</v>
      </c>
      <c r="E50">
        <v>52.8</v>
      </c>
      <c r="G50" s="2"/>
      <c r="H50" s="2" t="s">
        <v>5</v>
      </c>
      <c r="I50" s="2" t="s">
        <v>6</v>
      </c>
      <c r="J50" s="2" t="s">
        <v>7</v>
      </c>
      <c r="K50" s="2" t="s">
        <v>11</v>
      </c>
    </row>
    <row r="51" spans="1:11" x14ac:dyDescent="0.3">
      <c r="A51" t="s">
        <v>75</v>
      </c>
      <c r="B51">
        <v>13.29</v>
      </c>
      <c r="C51">
        <v>0.99</v>
      </c>
      <c r="D51">
        <v>12.3</v>
      </c>
      <c r="E51">
        <v>27.1</v>
      </c>
      <c r="G51" t="s">
        <v>5</v>
      </c>
      <c r="H51">
        <v>1</v>
      </c>
    </row>
    <row r="52" spans="1:11" x14ac:dyDescent="0.3">
      <c r="A52" t="s">
        <v>76</v>
      </c>
      <c r="B52">
        <v>6.77</v>
      </c>
      <c r="C52">
        <v>0.36</v>
      </c>
      <c r="D52">
        <v>6.41</v>
      </c>
      <c r="E52">
        <v>56.8</v>
      </c>
      <c r="G52" t="s">
        <v>6</v>
      </c>
      <c r="H52">
        <v>0.51278992234247778</v>
      </c>
      <c r="I52">
        <v>1</v>
      </c>
    </row>
    <row r="53" spans="1:11" x14ac:dyDescent="0.3">
      <c r="A53" t="s">
        <v>77</v>
      </c>
      <c r="B53">
        <v>10.25</v>
      </c>
      <c r="C53">
        <v>5.59</v>
      </c>
      <c r="D53">
        <v>4.66</v>
      </c>
      <c r="E53">
        <v>38.5</v>
      </c>
      <c r="G53" t="s">
        <v>7</v>
      </c>
      <c r="H53">
        <v>0.64761526374529699</v>
      </c>
      <c r="I53">
        <v>-0.32206927700370841</v>
      </c>
      <c r="J53">
        <v>1</v>
      </c>
    </row>
    <row r="54" spans="1:11" ht="14.5" thickBot="1" x14ac:dyDescent="0.35">
      <c r="A54" t="s">
        <v>78</v>
      </c>
      <c r="B54">
        <v>8.75</v>
      </c>
      <c r="C54">
        <v>1.6</v>
      </c>
      <c r="D54">
        <v>7.15</v>
      </c>
      <c r="E54">
        <v>44.9</v>
      </c>
      <c r="G54" s="1" t="s">
        <v>11</v>
      </c>
      <c r="H54" s="1">
        <v>-0.6886860733758644</v>
      </c>
      <c r="I54" s="1">
        <v>-0.31723318408173201</v>
      </c>
      <c r="J54" s="1">
        <v>-0.47788243671389619</v>
      </c>
      <c r="K54" s="1">
        <v>1</v>
      </c>
    </row>
    <row r="55" spans="1:11" x14ac:dyDescent="0.3">
      <c r="A55" t="s">
        <v>79</v>
      </c>
      <c r="B55">
        <v>10.130000000000001</v>
      </c>
      <c r="C55">
        <v>0.51</v>
      </c>
      <c r="D55">
        <v>9.6199999999999992</v>
      </c>
      <c r="E55">
        <v>44.8</v>
      </c>
    </row>
    <row r="56" spans="1:11" x14ac:dyDescent="0.3">
      <c r="A56" t="s">
        <v>80</v>
      </c>
      <c r="B56">
        <v>9.4700000000000006</v>
      </c>
      <c r="C56">
        <v>2.4</v>
      </c>
      <c r="D56">
        <v>7.07</v>
      </c>
      <c r="E56">
        <v>60</v>
      </c>
    </row>
    <row r="57" spans="1:11" x14ac:dyDescent="0.3">
      <c r="A57" t="s">
        <v>81</v>
      </c>
      <c r="B57">
        <v>7.57</v>
      </c>
      <c r="C57">
        <v>0.42</v>
      </c>
      <c r="D57">
        <v>7.15</v>
      </c>
      <c r="E57">
        <v>51.7</v>
      </c>
    </row>
    <row r="58" spans="1:11" x14ac:dyDescent="0.3">
      <c r="A58" t="s">
        <v>82</v>
      </c>
      <c r="B58">
        <v>6.76</v>
      </c>
      <c r="C58">
        <v>0.55000000000000004</v>
      </c>
      <c r="D58">
        <v>6.21</v>
      </c>
      <c r="E58">
        <v>74</v>
      </c>
    </row>
    <row r="59" spans="1:11" x14ac:dyDescent="0.3">
      <c r="A59" t="s">
        <v>83</v>
      </c>
      <c r="B59">
        <v>7.82</v>
      </c>
      <c r="C59">
        <v>2.5</v>
      </c>
      <c r="D59">
        <v>5.32</v>
      </c>
      <c r="E59">
        <v>81</v>
      </c>
    </row>
    <row r="60" spans="1:11" x14ac:dyDescent="0.3">
      <c r="A60" t="s">
        <v>84</v>
      </c>
      <c r="B60">
        <v>11.49</v>
      </c>
      <c r="C60">
        <v>1.1000000000000001</v>
      </c>
      <c r="D60">
        <v>10.39</v>
      </c>
      <c r="E60">
        <v>67.8</v>
      </c>
    </row>
    <row r="61" spans="1:11" x14ac:dyDescent="0.3">
      <c r="A61" t="s">
        <v>85</v>
      </c>
      <c r="B61">
        <v>8.89</v>
      </c>
      <c r="C61">
        <v>1.91</v>
      </c>
      <c r="D61">
        <v>6.98</v>
      </c>
      <c r="E61">
        <v>40.299999999999997</v>
      </c>
    </row>
    <row r="62" spans="1:11" x14ac:dyDescent="0.3">
      <c r="A62" t="s">
        <v>86</v>
      </c>
      <c r="B62">
        <v>10.09</v>
      </c>
      <c r="C62">
        <v>0.68</v>
      </c>
      <c r="D62">
        <v>9.41</v>
      </c>
      <c r="E62">
        <v>46.3</v>
      </c>
    </row>
    <row r="63" spans="1:11" x14ac:dyDescent="0.3">
      <c r="A63" t="s">
        <v>87</v>
      </c>
      <c r="B63">
        <v>9.02</v>
      </c>
      <c r="C63">
        <v>2.67</v>
      </c>
      <c r="D63">
        <v>6.35</v>
      </c>
      <c r="E63">
        <v>45.8</v>
      </c>
    </row>
    <row r="64" spans="1:11" x14ac:dyDescent="0.3">
      <c r="A64" t="s">
        <v>88</v>
      </c>
      <c r="B64">
        <v>11.16</v>
      </c>
      <c r="C64">
        <v>1.46</v>
      </c>
      <c r="D64">
        <v>9.6999999999999993</v>
      </c>
      <c r="E64">
        <v>42.2</v>
      </c>
    </row>
    <row r="65" spans="1:5" x14ac:dyDescent="0.3">
      <c r="A65" t="s">
        <v>89</v>
      </c>
      <c r="B65">
        <v>7.3</v>
      </c>
      <c r="C65">
        <v>1.65</v>
      </c>
      <c r="D65">
        <v>5.65</v>
      </c>
      <c r="E65">
        <v>51.1</v>
      </c>
    </row>
    <row r="66" spans="1:5" x14ac:dyDescent="0.3">
      <c r="A66" t="s">
        <v>90</v>
      </c>
      <c r="B66">
        <v>6.95</v>
      </c>
      <c r="C66">
        <v>3.9</v>
      </c>
      <c r="D66">
        <v>3.05</v>
      </c>
      <c r="E66">
        <v>48.3</v>
      </c>
    </row>
    <row r="67" spans="1:5" x14ac:dyDescent="0.3">
      <c r="A67" t="s">
        <v>91</v>
      </c>
      <c r="B67">
        <v>5.5</v>
      </c>
      <c r="C67">
        <v>2.5</v>
      </c>
      <c r="D67">
        <v>3</v>
      </c>
      <c r="E67">
        <v>86.3</v>
      </c>
    </row>
    <row r="68" spans="1:5" x14ac:dyDescent="0.3">
      <c r="A68" t="s">
        <v>92</v>
      </c>
      <c r="B68">
        <v>11.02</v>
      </c>
      <c r="C68">
        <v>1.59</v>
      </c>
      <c r="D68">
        <v>9.43</v>
      </c>
      <c r="E68">
        <v>38</v>
      </c>
    </row>
    <row r="69" spans="1:5" x14ac:dyDescent="0.3">
      <c r="A69" t="s">
        <v>93</v>
      </c>
      <c r="B69">
        <v>8.4700000000000006</v>
      </c>
      <c r="C69">
        <v>0.94</v>
      </c>
      <c r="D69">
        <v>7.53</v>
      </c>
      <c r="E69">
        <v>50.3</v>
      </c>
    </row>
    <row r="70" spans="1:5" x14ac:dyDescent="0.3">
      <c r="A70" t="s">
        <v>94</v>
      </c>
      <c r="B70">
        <v>6.92</v>
      </c>
      <c r="C70">
        <v>1.07</v>
      </c>
      <c r="D70">
        <v>5.85</v>
      </c>
      <c r="E70">
        <v>76.5</v>
      </c>
    </row>
    <row r="71" spans="1:5" x14ac:dyDescent="0.3">
      <c r="A71" t="s">
        <v>95</v>
      </c>
      <c r="B71">
        <v>8.23</v>
      </c>
      <c r="C71">
        <v>0.45</v>
      </c>
      <c r="D71">
        <v>7.78</v>
      </c>
      <c r="E71">
        <v>65.099999999999994</v>
      </c>
    </row>
    <row r="72" spans="1:5" x14ac:dyDescent="0.3">
      <c r="A72" t="s">
        <v>96</v>
      </c>
      <c r="B72">
        <v>7.88</v>
      </c>
      <c r="C72">
        <v>0.39</v>
      </c>
      <c r="D72">
        <v>7.49</v>
      </c>
      <c r="E72">
        <v>59</v>
      </c>
    </row>
    <row r="73" spans="1:5" x14ac:dyDescent="0.3">
      <c r="A73" t="s">
        <v>97</v>
      </c>
      <c r="B73">
        <v>13.44</v>
      </c>
      <c r="C73">
        <v>6.68</v>
      </c>
      <c r="D73">
        <v>6.76</v>
      </c>
      <c r="E73">
        <v>43</v>
      </c>
    </row>
    <row r="74" spans="1:5" x14ac:dyDescent="0.3">
      <c r="A74" t="s">
        <v>98</v>
      </c>
      <c r="B74">
        <v>5.41</v>
      </c>
      <c r="C74">
        <v>0.44</v>
      </c>
      <c r="D74">
        <v>4.97</v>
      </c>
      <c r="E74">
        <v>68.5</v>
      </c>
    </row>
    <row r="75" spans="1:5" x14ac:dyDescent="0.3">
      <c r="A75" t="s">
        <v>99</v>
      </c>
      <c r="B75">
        <v>8.6</v>
      </c>
      <c r="C75">
        <v>1.6</v>
      </c>
      <c r="D75">
        <v>7</v>
      </c>
      <c r="E75">
        <v>56</v>
      </c>
    </row>
    <row r="76" spans="1:5" x14ac:dyDescent="0.3">
      <c r="A76" t="s">
        <v>100</v>
      </c>
      <c r="B76">
        <v>9.1300000000000008</v>
      </c>
      <c r="C76">
        <v>4.07</v>
      </c>
      <c r="D76">
        <v>5.0599999999999996</v>
      </c>
      <c r="E76">
        <v>74.5</v>
      </c>
    </row>
    <row r="77" spans="1:5" x14ac:dyDescent="0.3">
      <c r="A77" t="s">
        <v>101</v>
      </c>
      <c r="B77">
        <v>9.26</v>
      </c>
      <c r="C77">
        <v>4.57</v>
      </c>
      <c r="D77">
        <v>4.6900000000000004</v>
      </c>
      <c r="E77">
        <v>51.1</v>
      </c>
    </row>
    <row r="78" spans="1:5" x14ac:dyDescent="0.3">
      <c r="A78" t="s">
        <v>102</v>
      </c>
      <c r="B78">
        <v>6.61</v>
      </c>
      <c r="C78">
        <v>1.82</v>
      </c>
      <c r="D78">
        <v>4.79</v>
      </c>
      <c r="E78">
        <v>60.5</v>
      </c>
    </row>
    <row r="79" spans="1:5" x14ac:dyDescent="0.3">
      <c r="A79" t="s">
        <v>103</v>
      </c>
      <c r="B79">
        <v>3.93</v>
      </c>
      <c r="C79">
        <v>1.02</v>
      </c>
      <c r="D79">
        <v>2.91</v>
      </c>
      <c r="E79">
        <v>88</v>
      </c>
    </row>
    <row r="80" spans="1:5" x14ac:dyDescent="0.3">
      <c r="A80" t="s">
        <v>104</v>
      </c>
      <c r="B80">
        <v>11.75</v>
      </c>
      <c r="C80">
        <v>0.88</v>
      </c>
      <c r="D80">
        <v>10.87</v>
      </c>
      <c r="E80">
        <v>41.5</v>
      </c>
    </row>
    <row r="81" spans="1:5" x14ac:dyDescent="0.3">
      <c r="A81" t="s">
        <v>105</v>
      </c>
      <c r="B81">
        <v>7.58</v>
      </c>
      <c r="C81">
        <v>0.38</v>
      </c>
      <c r="D81">
        <v>7.2</v>
      </c>
      <c r="E81">
        <v>67.7</v>
      </c>
    </row>
    <row r="82" spans="1:5" x14ac:dyDescent="0.3">
      <c r="A82" t="s">
        <v>106</v>
      </c>
      <c r="B82">
        <v>9.14</v>
      </c>
      <c r="C82">
        <v>1.99</v>
      </c>
      <c r="D82">
        <v>7.15</v>
      </c>
      <c r="E82">
        <v>45.5</v>
      </c>
    </row>
    <row r="83" spans="1:5" x14ac:dyDescent="0.3">
      <c r="A83" t="s">
        <v>107</v>
      </c>
      <c r="B83">
        <v>5.44</v>
      </c>
      <c r="C83">
        <v>0.45</v>
      </c>
      <c r="D83">
        <v>4.99</v>
      </c>
      <c r="E83">
        <v>88.3</v>
      </c>
    </row>
    <row r="84" spans="1:5" x14ac:dyDescent="0.3">
      <c r="A84" t="s">
        <v>108</v>
      </c>
      <c r="B84">
        <v>9.86</v>
      </c>
      <c r="C84">
        <v>6.39</v>
      </c>
      <c r="D84">
        <v>3.47</v>
      </c>
      <c r="E84">
        <v>66.3</v>
      </c>
    </row>
    <row r="85" spans="1:5" x14ac:dyDescent="0.3">
      <c r="A85" t="s">
        <v>109</v>
      </c>
      <c r="B85">
        <v>8.0500000000000007</v>
      </c>
      <c r="C85">
        <v>1.1000000000000001</v>
      </c>
      <c r="D85">
        <v>6.95</v>
      </c>
      <c r="E85">
        <v>55.9</v>
      </c>
    </row>
    <row r="86" spans="1:5" x14ac:dyDescent="0.3">
      <c r="A86" t="s">
        <v>110</v>
      </c>
      <c r="B86">
        <v>7.04</v>
      </c>
      <c r="C86">
        <v>3.5</v>
      </c>
      <c r="D86">
        <v>3.54</v>
      </c>
      <c r="E86">
        <v>82.3</v>
      </c>
    </row>
    <row r="87" spans="1:5" x14ac:dyDescent="0.3">
      <c r="A87" t="s">
        <v>111</v>
      </c>
      <c r="B87">
        <v>6.32</v>
      </c>
      <c r="C87">
        <v>1.72</v>
      </c>
      <c r="D87">
        <v>4.5999999999999996</v>
      </c>
      <c r="E87">
        <v>64.400000000000006</v>
      </c>
    </row>
    <row r="88" spans="1:5" x14ac:dyDescent="0.3">
      <c r="A88" t="s">
        <v>112</v>
      </c>
      <c r="B88">
        <v>10.3</v>
      </c>
      <c r="C88">
        <v>2.73</v>
      </c>
      <c r="D88">
        <v>7.57</v>
      </c>
      <c r="E88">
        <v>50.4</v>
      </c>
    </row>
    <row r="89" spans="1:5" x14ac:dyDescent="0.3">
      <c r="A89" t="s">
        <v>113</v>
      </c>
      <c r="B89">
        <v>9.24</v>
      </c>
      <c r="C89">
        <v>2.5299999999999998</v>
      </c>
      <c r="D89">
        <v>6.71</v>
      </c>
      <c r="E89">
        <v>46.5</v>
      </c>
    </row>
    <row r="90" spans="1:5" x14ac:dyDescent="0.3">
      <c r="A90" t="s">
        <v>114</v>
      </c>
      <c r="B90">
        <v>8.2899999999999991</v>
      </c>
      <c r="C90">
        <v>1</v>
      </c>
      <c r="D90">
        <v>7.29</v>
      </c>
      <c r="E90">
        <v>58.3</v>
      </c>
    </row>
    <row r="91" spans="1:5" x14ac:dyDescent="0.3">
      <c r="A91" t="s">
        <v>115</v>
      </c>
      <c r="B91">
        <v>5.52</v>
      </c>
      <c r="C91">
        <v>0.92</v>
      </c>
      <c r="D91">
        <v>4.5999999999999996</v>
      </c>
      <c r="E91">
        <v>68.7</v>
      </c>
    </row>
    <row r="92" spans="1:5" x14ac:dyDescent="0.3">
      <c r="A92" t="s">
        <v>116</v>
      </c>
      <c r="B92">
        <v>9.1300000000000008</v>
      </c>
      <c r="C92">
        <v>2.42</v>
      </c>
      <c r="D92">
        <v>6.71</v>
      </c>
      <c r="E92">
        <v>43.9</v>
      </c>
    </row>
    <row r="93" spans="1:5" x14ac:dyDescent="0.3">
      <c r="A93" t="s">
        <v>117</v>
      </c>
      <c r="B93">
        <v>9.81</v>
      </c>
      <c r="C93">
        <v>2.46</v>
      </c>
      <c r="D93">
        <v>7.35</v>
      </c>
      <c r="E93">
        <v>40.6</v>
      </c>
    </row>
    <row r="94" spans="1:5" x14ac:dyDescent="0.3">
      <c r="A94" t="s">
        <v>118</v>
      </c>
      <c r="B94">
        <v>7.75</v>
      </c>
      <c r="C94">
        <v>0.96</v>
      </c>
      <c r="D94">
        <v>6.79</v>
      </c>
      <c r="E94">
        <v>57.1</v>
      </c>
    </row>
    <row r="95" spans="1:5" x14ac:dyDescent="0.3">
      <c r="A95" t="s">
        <v>119</v>
      </c>
      <c r="B95">
        <v>7.05</v>
      </c>
      <c r="C95">
        <v>0.62</v>
      </c>
      <c r="D95">
        <v>6.43</v>
      </c>
      <c r="E95">
        <v>49.9</v>
      </c>
    </row>
    <row r="96" spans="1:5" x14ac:dyDescent="0.3">
      <c r="A96" t="s">
        <v>121</v>
      </c>
      <c r="B96">
        <v>10.17</v>
      </c>
      <c r="C96">
        <v>1.01</v>
      </c>
      <c r="D96">
        <v>9.16</v>
      </c>
      <c r="E96">
        <v>51.5</v>
      </c>
    </row>
    <row r="97" spans="1:5" x14ac:dyDescent="0.3">
      <c r="A97" t="s">
        <v>122</v>
      </c>
      <c r="B97">
        <v>7.94</v>
      </c>
      <c r="C97">
        <v>2.93</v>
      </c>
      <c r="D97">
        <v>5.01</v>
      </c>
      <c r="E97">
        <v>53.5</v>
      </c>
    </row>
    <row r="98" spans="1:5" x14ac:dyDescent="0.3">
      <c r="A98" t="s">
        <v>123</v>
      </c>
      <c r="B98">
        <v>9.58</v>
      </c>
      <c r="C98">
        <v>3.64</v>
      </c>
      <c r="D98">
        <v>5.94</v>
      </c>
      <c r="E98">
        <v>48.4</v>
      </c>
    </row>
    <row r="99" spans="1:5" x14ac:dyDescent="0.3">
      <c r="A99" t="s">
        <v>124</v>
      </c>
      <c r="B99">
        <v>3.69</v>
      </c>
      <c r="C99">
        <v>0.67</v>
      </c>
      <c r="D99">
        <v>3.02</v>
      </c>
      <c r="E99">
        <v>61.4</v>
      </c>
    </row>
    <row r="100" spans="1:5" x14ac:dyDescent="0.3">
      <c r="A100" t="s">
        <v>125</v>
      </c>
      <c r="B100">
        <v>7.58</v>
      </c>
      <c r="C100">
        <v>0.38</v>
      </c>
      <c r="D100">
        <v>7.2</v>
      </c>
      <c r="E100">
        <v>53.9</v>
      </c>
    </row>
    <row r="101" spans="1:5" x14ac:dyDescent="0.3">
      <c r="A101" t="s">
        <v>126</v>
      </c>
      <c r="B101">
        <v>9.82</v>
      </c>
      <c r="C101">
        <v>5.22</v>
      </c>
      <c r="D101">
        <v>4.5999999999999996</v>
      </c>
      <c r="E101">
        <v>58.5</v>
      </c>
    </row>
    <row r="102" spans="1:5" x14ac:dyDescent="0.3">
      <c r="A102" t="s">
        <v>127</v>
      </c>
      <c r="B102">
        <v>8.5299999999999994</v>
      </c>
      <c r="C102">
        <v>0.43</v>
      </c>
      <c r="D102">
        <v>8.1</v>
      </c>
      <c r="E102">
        <v>45.4</v>
      </c>
    </row>
    <row r="103" spans="1:5" x14ac:dyDescent="0.3">
      <c r="A103" t="s">
        <v>128</v>
      </c>
      <c r="B103">
        <v>7.32</v>
      </c>
      <c r="C103">
        <v>0.61</v>
      </c>
      <c r="D103">
        <v>6.71</v>
      </c>
      <c r="E103">
        <v>74.8</v>
      </c>
    </row>
    <row r="104" spans="1:5" x14ac:dyDescent="0.3">
      <c r="A104" t="s">
        <v>129</v>
      </c>
      <c r="B104">
        <v>4.3</v>
      </c>
      <c r="C104">
        <v>0.48</v>
      </c>
      <c r="D104">
        <v>3.82</v>
      </c>
      <c r="E104">
        <v>66.8</v>
      </c>
    </row>
    <row r="105" spans="1:5" x14ac:dyDescent="0.3">
      <c r="A105" t="s">
        <v>130</v>
      </c>
      <c r="B105">
        <v>12.51</v>
      </c>
      <c r="C105">
        <v>6.79</v>
      </c>
      <c r="D105">
        <v>5.72</v>
      </c>
      <c r="E105">
        <v>33.200000000000003</v>
      </c>
    </row>
    <row r="106" spans="1:5" x14ac:dyDescent="0.3">
      <c r="A106" t="s">
        <v>131</v>
      </c>
      <c r="B106">
        <v>4.8899999999999997</v>
      </c>
      <c r="C106">
        <v>0.62</v>
      </c>
      <c r="D106">
        <v>4.2699999999999996</v>
      </c>
      <c r="E106">
        <v>68.3</v>
      </c>
    </row>
    <row r="107" spans="1:5" x14ac:dyDescent="0.3">
      <c r="A107" t="s">
        <v>132</v>
      </c>
      <c r="B107">
        <v>11.1</v>
      </c>
      <c r="C107">
        <v>4.95</v>
      </c>
      <c r="D107">
        <v>6.15</v>
      </c>
      <c r="E107">
        <v>36.1</v>
      </c>
    </row>
    <row r="108" spans="1:5" x14ac:dyDescent="0.3">
      <c r="A108" t="s">
        <v>133</v>
      </c>
      <c r="B108">
        <v>10.84</v>
      </c>
      <c r="C108">
        <v>0.57999999999999996</v>
      </c>
      <c r="D108">
        <v>10.26</v>
      </c>
      <c r="E108">
        <v>36.4</v>
      </c>
    </row>
    <row r="109" spans="1:5" x14ac:dyDescent="0.3">
      <c r="A109" t="s">
        <v>134</v>
      </c>
      <c r="B109">
        <v>13.9</v>
      </c>
      <c r="C109">
        <v>5.84</v>
      </c>
      <c r="D109">
        <v>8.06</v>
      </c>
      <c r="E109">
        <v>26</v>
      </c>
    </row>
    <row r="110" spans="1:5" x14ac:dyDescent="0.3">
      <c r="A110" t="s">
        <v>135</v>
      </c>
      <c r="B110">
        <v>12.05</v>
      </c>
      <c r="C110">
        <v>2.66</v>
      </c>
      <c r="D110">
        <v>9.39</v>
      </c>
      <c r="E110">
        <v>44.8</v>
      </c>
    </row>
    <row r="111" spans="1:5" x14ac:dyDescent="0.3">
      <c r="A111" t="s">
        <v>136</v>
      </c>
      <c r="B111">
        <v>6.34</v>
      </c>
      <c r="C111">
        <v>0.35</v>
      </c>
      <c r="D111">
        <v>5.99</v>
      </c>
      <c r="E111">
        <v>86.8</v>
      </c>
    </row>
    <row r="112" spans="1:5" x14ac:dyDescent="0.3">
      <c r="A112" t="s">
        <v>137</v>
      </c>
      <c r="B112">
        <v>11.04</v>
      </c>
      <c r="C112">
        <v>0.85</v>
      </c>
      <c r="D112">
        <v>10.19</v>
      </c>
      <c r="E112">
        <v>42.3</v>
      </c>
    </row>
    <row r="113" spans="1:5" x14ac:dyDescent="0.3">
      <c r="A113" t="s">
        <v>138</v>
      </c>
      <c r="B113">
        <v>11.19</v>
      </c>
      <c r="C113">
        <v>5.16</v>
      </c>
      <c r="D113">
        <v>6.03</v>
      </c>
      <c r="E113">
        <v>35.9</v>
      </c>
    </row>
    <row r="114" spans="1:5" x14ac:dyDescent="0.3">
      <c r="A114" t="s">
        <v>139</v>
      </c>
      <c r="B114">
        <v>10.050000000000001</v>
      </c>
      <c r="C114">
        <v>0.5</v>
      </c>
      <c r="D114">
        <v>9.5500000000000007</v>
      </c>
      <c r="E114">
        <v>56.7</v>
      </c>
    </row>
    <row r="115" spans="1:5" x14ac:dyDescent="0.3">
      <c r="A115" t="s">
        <v>140</v>
      </c>
      <c r="B115">
        <v>11.94</v>
      </c>
      <c r="C115">
        <v>0.6</v>
      </c>
      <c r="D115">
        <v>11.34</v>
      </c>
      <c r="E115">
        <v>37.299999999999997</v>
      </c>
    </row>
    <row r="116" spans="1:5" x14ac:dyDescent="0.3">
      <c r="A116" t="s">
        <v>141</v>
      </c>
      <c r="B116">
        <v>7.8</v>
      </c>
      <c r="C116">
        <v>4.17</v>
      </c>
      <c r="D116">
        <v>3.63</v>
      </c>
      <c r="E116">
        <v>52.6</v>
      </c>
    </row>
    <row r="117" spans="1:5" x14ac:dyDescent="0.3">
      <c r="A117" t="s">
        <v>142</v>
      </c>
      <c r="B117">
        <v>11.23</v>
      </c>
      <c r="C117">
        <v>2.25</v>
      </c>
      <c r="D117">
        <v>8.98</v>
      </c>
      <c r="E117">
        <v>55.1</v>
      </c>
    </row>
    <row r="118" spans="1:5" x14ac:dyDescent="0.3">
      <c r="A118" t="s">
        <v>143</v>
      </c>
      <c r="B118">
        <v>8.6999999999999993</v>
      </c>
      <c r="C118">
        <v>1.4</v>
      </c>
      <c r="D118">
        <v>7.3</v>
      </c>
      <c r="E118">
        <v>56.2</v>
      </c>
    </row>
    <row r="119" spans="1:5" x14ac:dyDescent="0.3">
      <c r="A119" t="s">
        <v>145</v>
      </c>
      <c r="B119">
        <v>10.119999999999999</v>
      </c>
      <c r="C119">
        <v>4.82</v>
      </c>
      <c r="D119">
        <v>5.3</v>
      </c>
      <c r="E119">
        <v>47.2</v>
      </c>
    </row>
    <row r="120" spans="1:5" x14ac:dyDescent="0.3">
      <c r="A120" t="s">
        <v>146</v>
      </c>
      <c r="B120">
        <v>10.039999999999999</v>
      </c>
      <c r="C120">
        <v>2.11</v>
      </c>
      <c r="D120">
        <v>7.93</v>
      </c>
      <c r="E120">
        <v>52.1</v>
      </c>
    </row>
    <row r="121" spans="1:5" x14ac:dyDescent="0.3">
      <c r="A121" t="s">
        <v>147</v>
      </c>
      <c r="B121">
        <v>6.42</v>
      </c>
      <c r="C121">
        <v>0.32</v>
      </c>
      <c r="D121">
        <v>6.1</v>
      </c>
      <c r="E121">
        <v>73</v>
      </c>
    </row>
    <row r="122" spans="1:5" x14ac:dyDescent="0.3">
      <c r="A122" t="s">
        <v>148</v>
      </c>
      <c r="B122">
        <v>9.58</v>
      </c>
      <c r="C122">
        <v>2.08</v>
      </c>
      <c r="D122">
        <v>7.5</v>
      </c>
      <c r="E122">
        <v>80.400000000000006</v>
      </c>
    </row>
    <row r="123" spans="1:5" x14ac:dyDescent="0.3">
      <c r="A123" t="s">
        <v>149</v>
      </c>
      <c r="B123">
        <v>7.77</v>
      </c>
      <c r="C123">
        <v>1.17</v>
      </c>
      <c r="D123">
        <v>6.6</v>
      </c>
      <c r="E123">
        <v>40.9</v>
      </c>
    </row>
    <row r="124" spans="1:5" x14ac:dyDescent="0.3">
      <c r="A124" t="s">
        <v>150</v>
      </c>
      <c r="B124">
        <v>7.85</v>
      </c>
      <c r="C124">
        <v>1.44</v>
      </c>
      <c r="D124">
        <v>6.41</v>
      </c>
      <c r="E124">
        <v>70.8</v>
      </c>
    </row>
    <row r="125" spans="1:5" x14ac:dyDescent="0.3">
      <c r="A125" t="s">
        <v>151</v>
      </c>
      <c r="B125">
        <v>6</v>
      </c>
      <c r="C125">
        <v>0.3</v>
      </c>
      <c r="D125">
        <v>5.7</v>
      </c>
      <c r="E125">
        <v>49.3</v>
      </c>
    </row>
    <row r="126" spans="1:5" x14ac:dyDescent="0.3">
      <c r="A126" t="s">
        <v>152</v>
      </c>
      <c r="B126">
        <v>9.23</v>
      </c>
      <c r="C126">
        <v>0.73</v>
      </c>
      <c r="D126">
        <v>8.5</v>
      </c>
      <c r="E126">
        <v>67.400000000000006</v>
      </c>
    </row>
    <row r="127" spans="1:5" x14ac:dyDescent="0.3">
      <c r="A127" t="s">
        <v>153</v>
      </c>
      <c r="B127">
        <v>11.27</v>
      </c>
      <c r="C127">
        <v>1.99</v>
      </c>
      <c r="D127">
        <v>9.2799999999999994</v>
      </c>
      <c r="E127">
        <v>59.5</v>
      </c>
    </row>
    <row r="128" spans="1:5" x14ac:dyDescent="0.3">
      <c r="A128" t="s">
        <v>154</v>
      </c>
      <c r="B128">
        <v>9.0500000000000007</v>
      </c>
      <c r="C128">
        <v>5.35</v>
      </c>
      <c r="D128">
        <v>3.7</v>
      </c>
      <c r="E128">
        <v>40.9</v>
      </c>
    </row>
    <row r="129" spans="1:5" x14ac:dyDescent="0.3">
      <c r="A129" t="s">
        <v>155</v>
      </c>
      <c r="B129">
        <v>8.07</v>
      </c>
      <c r="C129">
        <v>0.75</v>
      </c>
      <c r="D129">
        <v>7.32</v>
      </c>
      <c r="E129">
        <v>56.7</v>
      </c>
    </row>
    <row r="130" spans="1:5" x14ac:dyDescent="0.3">
      <c r="A130" t="s">
        <v>156</v>
      </c>
      <c r="B130">
        <v>5.52</v>
      </c>
      <c r="C130">
        <v>1.1599999999999999</v>
      </c>
      <c r="D130">
        <v>4.3600000000000003</v>
      </c>
      <c r="E130">
        <v>79</v>
      </c>
    </row>
    <row r="131" spans="1:5" x14ac:dyDescent="0.3">
      <c r="A131" t="s">
        <v>157</v>
      </c>
      <c r="B131">
        <v>10.27</v>
      </c>
      <c r="C131">
        <v>0.96</v>
      </c>
      <c r="D131">
        <v>9.31</v>
      </c>
      <c r="E131">
        <v>60</v>
      </c>
    </row>
    <row r="132" spans="1:5" x14ac:dyDescent="0.3">
      <c r="A132" t="s">
        <v>158</v>
      </c>
      <c r="B132">
        <v>9.59</v>
      </c>
      <c r="C132">
        <v>4.62</v>
      </c>
      <c r="D132">
        <v>4.97</v>
      </c>
      <c r="E132">
        <v>56.1</v>
      </c>
    </row>
    <row r="133" spans="1:5" x14ac:dyDescent="0.3">
      <c r="A133" t="s">
        <v>159</v>
      </c>
      <c r="B133">
        <v>12.19</v>
      </c>
      <c r="C133">
        <v>2.56</v>
      </c>
      <c r="D133">
        <v>9.6300000000000008</v>
      </c>
      <c r="E133">
        <v>39.4</v>
      </c>
    </row>
    <row r="134" spans="1:5" x14ac:dyDescent="0.3">
      <c r="A134" t="s">
        <v>160</v>
      </c>
      <c r="B134">
        <v>6.09</v>
      </c>
      <c r="C134">
        <v>3.86</v>
      </c>
      <c r="D134">
        <v>2.23</v>
      </c>
      <c r="E134">
        <v>64.099999999999994</v>
      </c>
    </row>
    <row r="135" spans="1:5" x14ac:dyDescent="0.3">
      <c r="A135" t="s">
        <v>161</v>
      </c>
      <c r="B135">
        <v>5.87</v>
      </c>
      <c r="C135">
        <v>0.31</v>
      </c>
      <c r="D135">
        <v>5.56</v>
      </c>
      <c r="E135">
        <v>68.8</v>
      </c>
    </row>
    <row r="136" spans="1:5" x14ac:dyDescent="0.3">
      <c r="A136" t="s">
        <v>162</v>
      </c>
      <c r="B136">
        <v>9.65</v>
      </c>
      <c r="C136">
        <v>3.25</v>
      </c>
      <c r="D136">
        <v>6.4</v>
      </c>
      <c r="E136">
        <v>50.5</v>
      </c>
    </row>
    <row r="137" spans="1:5" x14ac:dyDescent="0.3">
      <c r="A137" t="s">
        <v>163</v>
      </c>
      <c r="B137">
        <v>9.1300000000000008</v>
      </c>
      <c r="C137">
        <v>1.44</v>
      </c>
      <c r="D137">
        <v>7.69</v>
      </c>
      <c r="E137">
        <v>34.4</v>
      </c>
    </row>
    <row r="138" spans="1:5" x14ac:dyDescent="0.3">
      <c r="A138" t="s">
        <v>164</v>
      </c>
      <c r="B138">
        <v>5.07</v>
      </c>
      <c r="C138">
        <v>1.21</v>
      </c>
      <c r="D138">
        <v>3.86</v>
      </c>
      <c r="E138">
        <v>79.099999999999994</v>
      </c>
    </row>
    <row r="139" spans="1:5" x14ac:dyDescent="0.3">
      <c r="A139" t="s">
        <v>165</v>
      </c>
      <c r="B139">
        <v>8.14</v>
      </c>
      <c r="C139">
        <v>1.22</v>
      </c>
      <c r="D139">
        <v>6.92</v>
      </c>
      <c r="E139">
        <v>56.2</v>
      </c>
    </row>
    <row r="140" spans="1:5" x14ac:dyDescent="0.3">
      <c r="A140" t="s">
        <v>166</v>
      </c>
      <c r="B140">
        <v>11.85</v>
      </c>
      <c r="C140">
        <v>1.91</v>
      </c>
      <c r="D140">
        <v>9.94</v>
      </c>
      <c r="E140">
        <v>41.2</v>
      </c>
    </row>
    <row r="141" spans="1:5" x14ac:dyDescent="0.3">
      <c r="A141" t="s">
        <v>167</v>
      </c>
      <c r="B141">
        <v>10.39</v>
      </c>
      <c r="C141">
        <v>1.58</v>
      </c>
      <c r="D141">
        <v>8.81</v>
      </c>
      <c r="E141">
        <v>73.599999999999994</v>
      </c>
    </row>
    <row r="142" spans="1:5" x14ac:dyDescent="0.3">
      <c r="A142" t="s">
        <v>168</v>
      </c>
      <c r="B142">
        <v>3.76</v>
      </c>
      <c r="C142">
        <v>0.78</v>
      </c>
      <c r="D142">
        <v>2.98</v>
      </c>
      <c r="E142">
        <v>79.599999999999994</v>
      </c>
    </row>
    <row r="143" spans="1:5" x14ac:dyDescent="0.3">
      <c r="A143" t="s">
        <v>169</v>
      </c>
      <c r="B143">
        <v>5.9</v>
      </c>
      <c r="C143">
        <v>0.34</v>
      </c>
      <c r="D143">
        <v>5.56</v>
      </c>
      <c r="E143">
        <v>67.099999999999994</v>
      </c>
    </row>
    <row r="144" spans="1:5" x14ac:dyDescent="0.3">
      <c r="A144" t="s">
        <v>170</v>
      </c>
      <c r="B144">
        <v>8.76</v>
      </c>
      <c r="C144">
        <v>1.86</v>
      </c>
      <c r="D144">
        <v>6.9</v>
      </c>
      <c r="E144">
        <v>54.4</v>
      </c>
    </row>
    <row r="145" spans="1:5" x14ac:dyDescent="0.3">
      <c r="A145" t="s">
        <v>171</v>
      </c>
      <c r="B145">
        <v>12.18</v>
      </c>
      <c r="C145">
        <v>1.91</v>
      </c>
      <c r="D145">
        <v>10.27</v>
      </c>
      <c r="E145">
        <v>36.4</v>
      </c>
    </row>
    <row r="146" spans="1:5" x14ac:dyDescent="0.3">
      <c r="A146" t="s">
        <v>173</v>
      </c>
      <c r="B146">
        <v>8.6999999999999993</v>
      </c>
      <c r="C146">
        <v>4.17</v>
      </c>
      <c r="D146">
        <v>4.53</v>
      </c>
      <c r="E146">
        <v>44.2</v>
      </c>
    </row>
    <row r="147" spans="1:5" x14ac:dyDescent="0.3">
      <c r="A147" t="s">
        <v>174</v>
      </c>
      <c r="B147">
        <v>7.18</v>
      </c>
      <c r="C147">
        <v>1.47</v>
      </c>
      <c r="D147">
        <v>5.71</v>
      </c>
      <c r="E147">
        <v>64.8</v>
      </c>
    </row>
    <row r="148" spans="1:5" x14ac:dyDescent="0.3">
      <c r="A148" t="s">
        <v>175</v>
      </c>
      <c r="B148">
        <v>9.11</v>
      </c>
      <c r="C148">
        <v>0.93</v>
      </c>
      <c r="D148">
        <v>8.18</v>
      </c>
      <c r="E148">
        <v>45.4</v>
      </c>
    </row>
    <row r="149" spans="1:5" x14ac:dyDescent="0.3">
      <c r="A149" t="s">
        <v>176</v>
      </c>
      <c r="B149">
        <v>7.47</v>
      </c>
      <c r="C149">
        <v>0.37</v>
      </c>
      <c r="D149">
        <v>7.1</v>
      </c>
      <c r="E149">
        <v>37.9</v>
      </c>
    </row>
    <row r="150" spans="1:5" x14ac:dyDescent="0.3">
      <c r="A150" t="s">
        <v>177</v>
      </c>
      <c r="B150">
        <v>8.9700000000000006</v>
      </c>
      <c r="C150">
        <v>1.93</v>
      </c>
      <c r="D150">
        <v>7.04</v>
      </c>
      <c r="E150">
        <v>51</v>
      </c>
    </row>
    <row r="151" spans="1:5" x14ac:dyDescent="0.3">
      <c r="A151" t="s">
        <v>178</v>
      </c>
      <c r="B151">
        <v>7.98</v>
      </c>
      <c r="C151">
        <v>0.7</v>
      </c>
      <c r="D151">
        <v>7.28</v>
      </c>
      <c r="E151">
        <v>50.4</v>
      </c>
    </row>
    <row r="152" spans="1:5" x14ac:dyDescent="0.3">
      <c r="A152" t="s">
        <v>179</v>
      </c>
      <c r="B152">
        <v>7.22</v>
      </c>
      <c r="C152">
        <v>1.48</v>
      </c>
      <c r="D152">
        <v>5.74</v>
      </c>
      <c r="E152">
        <v>48.5</v>
      </c>
    </row>
    <row r="153" spans="1:5" x14ac:dyDescent="0.3">
      <c r="A153" t="s">
        <v>180</v>
      </c>
      <c r="B153">
        <v>7.16</v>
      </c>
      <c r="C153">
        <v>1.04</v>
      </c>
      <c r="D153">
        <v>6.12</v>
      </c>
      <c r="E153">
        <v>77.900000000000006</v>
      </c>
    </row>
    <row r="154" spans="1:5" x14ac:dyDescent="0.3">
      <c r="A154" t="s">
        <v>182</v>
      </c>
      <c r="B154">
        <v>9.52</v>
      </c>
      <c r="C154">
        <v>0.48</v>
      </c>
      <c r="D154">
        <v>9.0399999999999991</v>
      </c>
      <c r="E154">
        <v>44.6</v>
      </c>
    </row>
    <row r="155" spans="1:5" x14ac:dyDescent="0.3">
      <c r="A155" t="s">
        <v>183</v>
      </c>
      <c r="B155">
        <v>12.39</v>
      </c>
      <c r="C155">
        <v>3.06</v>
      </c>
      <c r="D155">
        <v>9.33</v>
      </c>
      <c r="E155">
        <v>37.700000000000003</v>
      </c>
    </row>
    <row r="156" spans="1:5" x14ac:dyDescent="0.3">
      <c r="A156" t="s">
        <v>184</v>
      </c>
      <c r="B156">
        <v>8.8000000000000007</v>
      </c>
      <c r="C156">
        <v>4.08</v>
      </c>
      <c r="D156">
        <v>4.72</v>
      </c>
      <c r="E156">
        <v>58.2</v>
      </c>
    </row>
    <row r="157" spans="1:5" x14ac:dyDescent="0.3">
      <c r="A157" t="s">
        <v>185</v>
      </c>
      <c r="B157">
        <v>8.99</v>
      </c>
      <c r="C157">
        <v>0.51</v>
      </c>
      <c r="D157">
        <v>8.48</v>
      </c>
      <c r="E157">
        <v>55.6</v>
      </c>
    </row>
    <row r="158" spans="1:5" x14ac:dyDescent="0.3">
      <c r="A158" t="s">
        <v>186</v>
      </c>
      <c r="B158">
        <v>9.69</v>
      </c>
      <c r="C158">
        <v>1.1599999999999999</v>
      </c>
      <c r="D158">
        <v>8.5299999999999994</v>
      </c>
      <c r="E158">
        <v>45.5</v>
      </c>
    </row>
    <row r="159" spans="1:5" x14ac:dyDescent="0.3">
      <c r="A159" t="s">
        <v>187</v>
      </c>
      <c r="B159">
        <v>9.75</v>
      </c>
      <c r="C159">
        <v>0.49</v>
      </c>
      <c r="D159">
        <v>9.26</v>
      </c>
      <c r="E159">
        <v>52.8</v>
      </c>
    </row>
    <row r="160" spans="1:5" x14ac:dyDescent="0.3">
      <c r="A160" t="s">
        <v>188</v>
      </c>
      <c r="B160">
        <v>12.67</v>
      </c>
      <c r="C160">
        <v>6.76</v>
      </c>
      <c r="D160">
        <v>5.91</v>
      </c>
      <c r="E160">
        <v>43.7</v>
      </c>
    </row>
    <row r="161" spans="1:5" x14ac:dyDescent="0.3">
      <c r="A161" t="s">
        <v>189</v>
      </c>
      <c r="B161">
        <v>12.06</v>
      </c>
      <c r="C161">
        <v>6.27</v>
      </c>
      <c r="D161">
        <v>5.79</v>
      </c>
      <c r="E161">
        <v>43.2</v>
      </c>
    </row>
    <row r="162" spans="1:5" x14ac:dyDescent="0.3">
      <c r="A162" t="s">
        <v>190</v>
      </c>
      <c r="B162">
        <v>7.64</v>
      </c>
      <c r="C162">
        <v>3.89</v>
      </c>
      <c r="D162">
        <v>3.75</v>
      </c>
      <c r="E162">
        <v>70.099999999999994</v>
      </c>
    </row>
    <row r="163" spans="1:5" x14ac:dyDescent="0.3">
      <c r="A163" t="s">
        <v>191</v>
      </c>
      <c r="B163">
        <v>10.26</v>
      </c>
      <c r="C163">
        <v>1.07</v>
      </c>
      <c r="D163">
        <v>9.19</v>
      </c>
      <c r="E163">
        <v>42.6</v>
      </c>
    </row>
    <row r="164" spans="1:5" x14ac:dyDescent="0.3">
      <c r="A164" t="s">
        <v>192</v>
      </c>
      <c r="B164">
        <v>5.57</v>
      </c>
      <c r="C164">
        <v>1.06</v>
      </c>
      <c r="D164">
        <v>4.51</v>
      </c>
      <c r="E164">
        <v>73.2</v>
      </c>
    </row>
    <row r="165" spans="1:5" x14ac:dyDescent="0.3">
      <c r="A165" t="s">
        <v>193</v>
      </c>
      <c r="B165">
        <v>8.32</v>
      </c>
      <c r="C165">
        <v>2.99</v>
      </c>
      <c r="D165">
        <v>5.33</v>
      </c>
      <c r="E165">
        <v>49.6</v>
      </c>
    </row>
    <row r="166" spans="1:5" x14ac:dyDescent="0.3">
      <c r="A166" t="s">
        <v>194</v>
      </c>
      <c r="B166">
        <v>10.63</v>
      </c>
      <c r="C166">
        <v>1.0900000000000001</v>
      </c>
      <c r="D166">
        <v>9.5399999999999991</v>
      </c>
      <c r="E166">
        <v>50.3</v>
      </c>
    </row>
    <row r="167" spans="1:5" x14ac:dyDescent="0.3">
      <c r="A167" t="s">
        <v>195</v>
      </c>
      <c r="B167">
        <v>11.09</v>
      </c>
      <c r="C167">
        <v>1.18</v>
      </c>
      <c r="D167">
        <v>9.91</v>
      </c>
      <c r="E167">
        <v>44.2</v>
      </c>
    </row>
    <row r="168" spans="1:5" x14ac:dyDescent="0.3">
      <c r="A168" t="s">
        <v>196</v>
      </c>
      <c r="B168">
        <v>6.55</v>
      </c>
      <c r="C168">
        <v>0.33</v>
      </c>
      <c r="D168">
        <v>6.22</v>
      </c>
      <c r="E168">
        <v>61.2</v>
      </c>
    </row>
    <row r="169" spans="1:5" x14ac:dyDescent="0.3">
      <c r="A169" t="s">
        <v>197</v>
      </c>
      <c r="B169">
        <v>10.33</v>
      </c>
      <c r="C169">
        <v>4.76</v>
      </c>
      <c r="D169">
        <v>5.57</v>
      </c>
      <c r="E169">
        <v>57.9</v>
      </c>
    </row>
    <row r="170" spans="1:5" x14ac:dyDescent="0.3">
      <c r="A170" t="s">
        <v>198</v>
      </c>
      <c r="B170">
        <v>9.98</v>
      </c>
      <c r="C170">
        <v>1.34</v>
      </c>
      <c r="D170">
        <v>8.64</v>
      </c>
      <c r="E170">
        <v>35.5</v>
      </c>
    </row>
    <row r="171" spans="1:5" x14ac:dyDescent="0.3">
      <c r="A171" t="s">
        <v>199</v>
      </c>
      <c r="B171">
        <v>7.99</v>
      </c>
      <c r="C171">
        <v>0.4</v>
      </c>
      <c r="D171">
        <v>7.59</v>
      </c>
      <c r="E171">
        <v>57.4</v>
      </c>
    </row>
    <row r="172" spans="1:5" x14ac:dyDescent="0.3">
      <c r="A172" t="s">
        <v>200</v>
      </c>
      <c r="B172">
        <v>11.22</v>
      </c>
      <c r="C172">
        <v>3.89</v>
      </c>
      <c r="D172">
        <v>7.33</v>
      </c>
      <c r="E172">
        <v>39.299999999999997</v>
      </c>
    </row>
    <row r="173" spans="1:5" x14ac:dyDescent="0.3">
      <c r="A173" t="s">
        <v>201</v>
      </c>
      <c r="B173">
        <v>4.0999999999999996</v>
      </c>
      <c r="C173">
        <v>0.21</v>
      </c>
      <c r="D173">
        <v>3.89</v>
      </c>
      <c r="E173">
        <v>79.099999999999994</v>
      </c>
    </row>
    <row r="174" spans="1:5" x14ac:dyDescent="0.3">
      <c r="A174" t="s">
        <v>202</v>
      </c>
      <c r="B174">
        <v>10.48</v>
      </c>
      <c r="C174">
        <v>5.65</v>
      </c>
      <c r="D174">
        <v>4.83</v>
      </c>
      <c r="E174">
        <v>36.799999999999997</v>
      </c>
    </row>
    <row r="175" spans="1:5" x14ac:dyDescent="0.3">
      <c r="A175" t="s">
        <v>203</v>
      </c>
      <c r="B175">
        <v>8.57</v>
      </c>
      <c r="C175">
        <v>1.57</v>
      </c>
      <c r="D175">
        <v>7</v>
      </c>
      <c r="E175">
        <v>52.8</v>
      </c>
    </row>
    <row r="176" spans="1:5" x14ac:dyDescent="0.3">
      <c r="A176" t="s">
        <v>204</v>
      </c>
      <c r="B176">
        <v>8.16</v>
      </c>
      <c r="C176">
        <v>2.48</v>
      </c>
      <c r="D176">
        <v>5.68</v>
      </c>
      <c r="E176">
        <v>62.4</v>
      </c>
    </row>
    <row r="177" spans="1:5" x14ac:dyDescent="0.3">
      <c r="A177" t="s">
        <v>206</v>
      </c>
      <c r="B177">
        <v>4.5599999999999996</v>
      </c>
      <c r="C177">
        <v>0.56999999999999995</v>
      </c>
      <c r="D177">
        <v>3.99</v>
      </c>
      <c r="E177">
        <v>75.599999999999994</v>
      </c>
    </row>
    <row r="178" spans="1:5" x14ac:dyDescent="0.3">
      <c r="A178" t="s">
        <v>207</v>
      </c>
      <c r="B178">
        <v>9.8800000000000008</v>
      </c>
      <c r="C178">
        <v>1.74</v>
      </c>
      <c r="D178">
        <v>8.14</v>
      </c>
      <c r="E178">
        <v>51.3</v>
      </c>
    </row>
    <row r="179" spans="1:5" x14ac:dyDescent="0.3">
      <c r="A179" t="s">
        <v>208</v>
      </c>
      <c r="B179">
        <v>7.35</v>
      </c>
      <c r="C179">
        <v>0.94</v>
      </c>
      <c r="D179">
        <v>6.41</v>
      </c>
      <c r="E179">
        <v>53.9</v>
      </c>
    </row>
    <row r="180" spans="1:5" x14ac:dyDescent="0.3">
      <c r="A180" t="s">
        <v>209</v>
      </c>
      <c r="B180">
        <v>6.92</v>
      </c>
      <c r="C180">
        <v>0.5</v>
      </c>
      <c r="D180">
        <v>6.42</v>
      </c>
      <c r="E180">
        <v>79</v>
      </c>
    </row>
    <row r="181" spans="1:5" x14ac:dyDescent="0.3">
      <c r="A181" t="s">
        <v>210</v>
      </c>
      <c r="B181">
        <v>7.05</v>
      </c>
      <c r="C181">
        <v>0.35</v>
      </c>
      <c r="D181">
        <v>6.7</v>
      </c>
      <c r="E181">
        <v>59.1</v>
      </c>
    </row>
    <row r="182" spans="1:5" x14ac:dyDescent="0.3">
      <c r="A182" t="s">
        <v>211</v>
      </c>
      <c r="B182">
        <v>12.92</v>
      </c>
      <c r="C182">
        <v>2.5099999999999998</v>
      </c>
      <c r="D182">
        <v>10.41</v>
      </c>
      <c r="E182">
        <v>43.7</v>
      </c>
    </row>
    <row r="183" spans="1:5" x14ac:dyDescent="0.3">
      <c r="A183" t="s">
        <v>212</v>
      </c>
      <c r="B183">
        <v>11.06</v>
      </c>
      <c r="C183">
        <v>2.88</v>
      </c>
      <c r="D183">
        <v>8.18</v>
      </c>
      <c r="E183">
        <v>28.1</v>
      </c>
    </row>
    <row r="184" spans="1:5" x14ac:dyDescent="0.3">
      <c r="A184" t="s">
        <v>213</v>
      </c>
      <c r="B184">
        <v>10.75</v>
      </c>
      <c r="C184">
        <v>6.43</v>
      </c>
      <c r="D184">
        <v>4.32</v>
      </c>
      <c r="E184">
        <v>66.8</v>
      </c>
    </row>
    <row r="185" spans="1:5" x14ac:dyDescent="0.3">
      <c r="A185" t="s">
        <v>214</v>
      </c>
      <c r="B185">
        <v>12.27</v>
      </c>
      <c r="C185">
        <v>6.71</v>
      </c>
      <c r="D185">
        <v>5.56</v>
      </c>
      <c r="E185">
        <v>48.6</v>
      </c>
    </row>
    <row r="186" spans="1:5" x14ac:dyDescent="0.3">
      <c r="A186" t="s">
        <v>215</v>
      </c>
      <c r="B186">
        <v>13.51</v>
      </c>
      <c r="C186">
        <v>2.0299999999999998</v>
      </c>
      <c r="D186">
        <v>11.48</v>
      </c>
      <c r="E186">
        <v>36</v>
      </c>
    </row>
    <row r="187" spans="1:5" x14ac:dyDescent="0.3">
      <c r="A187" t="s">
        <v>216</v>
      </c>
      <c r="B187">
        <v>10.19</v>
      </c>
      <c r="C187">
        <v>0.84</v>
      </c>
      <c r="D187">
        <v>9.35</v>
      </c>
      <c r="E187">
        <v>30.9</v>
      </c>
    </row>
    <row r="188" spans="1:5" x14ac:dyDescent="0.3">
      <c r="A188" t="s">
        <v>217</v>
      </c>
      <c r="B188">
        <v>7.02</v>
      </c>
      <c r="C188">
        <v>0.71</v>
      </c>
      <c r="D188">
        <v>6.31</v>
      </c>
      <c r="E188">
        <v>69.599999999999994</v>
      </c>
    </row>
    <row r="189" spans="1:5" x14ac:dyDescent="0.3">
      <c r="A189" t="s">
        <v>218</v>
      </c>
      <c r="B189">
        <v>7.34</v>
      </c>
      <c r="C189">
        <v>2.2400000000000002</v>
      </c>
      <c r="D189">
        <v>5.0999999999999996</v>
      </c>
      <c r="E189">
        <v>41.9</v>
      </c>
    </row>
    <row r="190" spans="1:5" x14ac:dyDescent="0.3">
      <c r="A190" t="s">
        <v>219</v>
      </c>
      <c r="B190">
        <v>10.4</v>
      </c>
      <c r="C190">
        <v>0.54</v>
      </c>
      <c r="D190">
        <v>9.86</v>
      </c>
      <c r="E190">
        <v>45.1</v>
      </c>
    </row>
    <row r="191" spans="1:5" x14ac:dyDescent="0.3">
      <c r="A191" t="s">
        <v>220</v>
      </c>
      <c r="B191">
        <v>10.82</v>
      </c>
      <c r="C191">
        <v>4.01</v>
      </c>
      <c r="D191">
        <v>6.81</v>
      </c>
      <c r="E191">
        <v>50.2</v>
      </c>
    </row>
    <row r="192" spans="1:5" x14ac:dyDescent="0.3">
      <c r="A192" t="s">
        <v>221</v>
      </c>
      <c r="B192">
        <v>5.85</v>
      </c>
      <c r="C192">
        <v>0.57999999999999996</v>
      </c>
      <c r="D192">
        <v>5.27</v>
      </c>
      <c r="E192">
        <v>54</v>
      </c>
    </row>
    <row r="193" spans="1:5" x14ac:dyDescent="0.3">
      <c r="A193" t="s">
        <v>222</v>
      </c>
      <c r="B193">
        <v>10.95</v>
      </c>
      <c r="C193">
        <v>2.64</v>
      </c>
      <c r="D193">
        <v>8.31</v>
      </c>
      <c r="E193">
        <v>48.3</v>
      </c>
    </row>
    <row r="194" spans="1:5" x14ac:dyDescent="0.3">
      <c r="A194" t="s">
        <v>223</v>
      </c>
      <c r="B194">
        <v>8.08</v>
      </c>
      <c r="C194">
        <v>3.75</v>
      </c>
      <c r="D194">
        <v>4.33</v>
      </c>
      <c r="E194">
        <v>62.7</v>
      </c>
    </row>
    <row r="195" spans="1:5" x14ac:dyDescent="0.3">
      <c r="A195" t="s">
        <v>224</v>
      </c>
      <c r="B195">
        <v>11.65</v>
      </c>
      <c r="C195">
        <v>0.57999999999999996</v>
      </c>
      <c r="D195">
        <v>11.07</v>
      </c>
      <c r="E195">
        <v>46.4</v>
      </c>
    </row>
    <row r="196" spans="1:5" x14ac:dyDescent="0.3">
      <c r="A196" t="s">
        <v>225</v>
      </c>
      <c r="B196">
        <v>8.93</v>
      </c>
      <c r="C196">
        <v>1.62</v>
      </c>
      <c r="D196">
        <v>7.31</v>
      </c>
      <c r="E196">
        <v>44.7</v>
      </c>
    </row>
    <row r="197" spans="1:5" x14ac:dyDescent="0.3">
      <c r="A197" t="s">
        <v>226</v>
      </c>
      <c r="B197">
        <v>11.79</v>
      </c>
      <c r="C197">
        <v>7.06</v>
      </c>
      <c r="D197">
        <v>4.7300000000000004</v>
      </c>
      <c r="E197">
        <v>31.8</v>
      </c>
    </row>
    <row r="198" spans="1:5" x14ac:dyDescent="0.3">
      <c r="A198" t="s">
        <v>227</v>
      </c>
      <c r="B198">
        <v>6.09</v>
      </c>
      <c r="C198">
        <v>0.59</v>
      </c>
      <c r="D198">
        <v>5.5</v>
      </c>
      <c r="E198">
        <v>66.7</v>
      </c>
    </row>
    <row r="199" spans="1:5" x14ac:dyDescent="0.3">
      <c r="A199" t="s">
        <v>228</v>
      </c>
      <c r="B199">
        <v>8.64</v>
      </c>
      <c r="C199">
        <v>1.1499999999999999</v>
      </c>
      <c r="D199">
        <v>7.49</v>
      </c>
      <c r="E199">
        <v>57</v>
      </c>
    </row>
    <row r="200" spans="1:5" x14ac:dyDescent="0.3">
      <c r="A200" t="s">
        <v>229</v>
      </c>
      <c r="B200">
        <v>7.71</v>
      </c>
      <c r="C200">
        <v>0.87</v>
      </c>
      <c r="D200">
        <v>6.84</v>
      </c>
      <c r="E200">
        <v>52.5</v>
      </c>
    </row>
    <row r="201" spans="1:5" x14ac:dyDescent="0.3">
      <c r="A201" t="s">
        <v>230</v>
      </c>
      <c r="B201">
        <v>10.68</v>
      </c>
      <c r="C201">
        <v>0.88</v>
      </c>
      <c r="D201">
        <v>9.8000000000000007</v>
      </c>
      <c r="E201">
        <v>50.1</v>
      </c>
    </row>
    <row r="202" spans="1:5" x14ac:dyDescent="0.3">
      <c r="A202" t="s">
        <v>231</v>
      </c>
      <c r="B202">
        <v>8.73</v>
      </c>
      <c r="C202">
        <v>0.65</v>
      </c>
      <c r="D202">
        <v>8.08</v>
      </c>
      <c r="E202">
        <v>59.9</v>
      </c>
    </row>
    <row r="203" spans="1:5" x14ac:dyDescent="0.3">
      <c r="A203" t="s">
        <v>232</v>
      </c>
      <c r="B203">
        <v>7.3</v>
      </c>
      <c r="C203">
        <v>0.72</v>
      </c>
      <c r="D203">
        <v>6.58</v>
      </c>
      <c r="E203">
        <v>47.6</v>
      </c>
    </row>
    <row r="204" spans="1:5" x14ac:dyDescent="0.3">
      <c r="A204" t="s">
        <v>233</v>
      </c>
      <c r="B204">
        <v>10.89</v>
      </c>
      <c r="C204">
        <v>7.48</v>
      </c>
      <c r="D204">
        <v>3.41</v>
      </c>
      <c r="E204">
        <v>54.6</v>
      </c>
    </row>
    <row r="205" spans="1:5" x14ac:dyDescent="0.3">
      <c r="A205" t="s">
        <v>234</v>
      </c>
      <c r="B205">
        <v>11.14</v>
      </c>
      <c r="C205">
        <v>1.56</v>
      </c>
      <c r="D205">
        <v>9.58</v>
      </c>
      <c r="E205">
        <v>43.4</v>
      </c>
    </row>
    <row r="206" spans="1:5" x14ac:dyDescent="0.3">
      <c r="A206" t="s">
        <v>235</v>
      </c>
      <c r="B206">
        <v>12.56</v>
      </c>
      <c r="C206">
        <v>2.93</v>
      </c>
      <c r="D206">
        <v>9.6300000000000008</v>
      </c>
      <c r="E206">
        <v>36.9</v>
      </c>
    </row>
    <row r="207" spans="1:5" x14ac:dyDescent="0.3">
      <c r="A207" t="s">
        <v>236</v>
      </c>
      <c r="B207">
        <v>11.96</v>
      </c>
      <c r="C207">
        <v>6.74</v>
      </c>
      <c r="D207">
        <v>5.22</v>
      </c>
      <c r="E207">
        <v>39.1</v>
      </c>
    </row>
    <row r="208" spans="1:5" x14ac:dyDescent="0.3">
      <c r="A208" t="s">
        <v>237</v>
      </c>
      <c r="B208">
        <v>11.15</v>
      </c>
      <c r="C208">
        <v>0.56000000000000005</v>
      </c>
      <c r="D208">
        <v>10.59</v>
      </c>
      <c r="E208">
        <v>54.3</v>
      </c>
    </row>
    <row r="209" spans="1:5" x14ac:dyDescent="0.3">
      <c r="A209" t="s">
        <v>238</v>
      </c>
      <c r="B209">
        <v>5.28</v>
      </c>
      <c r="C209">
        <v>3.59</v>
      </c>
      <c r="D209">
        <v>1.69</v>
      </c>
      <c r="E209">
        <v>65.400000000000006</v>
      </c>
    </row>
    <row r="210" spans="1:5" x14ac:dyDescent="0.3">
      <c r="A210" t="s">
        <v>239</v>
      </c>
      <c r="B210">
        <v>7.32</v>
      </c>
      <c r="C210">
        <v>1.08</v>
      </c>
      <c r="D210">
        <v>6.24</v>
      </c>
      <c r="E210">
        <v>54.6</v>
      </c>
    </row>
    <row r="211" spans="1:5" x14ac:dyDescent="0.3">
      <c r="A211" t="s">
        <v>240</v>
      </c>
      <c r="B211">
        <v>9.39</v>
      </c>
      <c r="C211">
        <v>0.47</v>
      </c>
      <c r="D211">
        <v>8.92</v>
      </c>
      <c r="E211">
        <v>40.6</v>
      </c>
    </row>
    <row r="212" spans="1:5" x14ac:dyDescent="0.3">
      <c r="A212" t="s">
        <v>241</v>
      </c>
      <c r="B212">
        <v>11.12</v>
      </c>
      <c r="C212">
        <v>4.7</v>
      </c>
      <c r="D212">
        <v>6.42</v>
      </c>
      <c r="E212">
        <v>45.4</v>
      </c>
    </row>
    <row r="213" spans="1:5" x14ac:dyDescent="0.3">
      <c r="A213" t="s">
        <v>244</v>
      </c>
      <c r="B213">
        <v>11.64</v>
      </c>
      <c r="C213">
        <v>0.68</v>
      </c>
      <c r="D213">
        <v>10.96</v>
      </c>
      <c r="E213">
        <v>38.1</v>
      </c>
    </row>
    <row r="214" spans="1:5" x14ac:dyDescent="0.3">
      <c r="A214" t="s">
        <v>245</v>
      </c>
      <c r="B214">
        <v>9.1300000000000008</v>
      </c>
      <c r="C214">
        <v>0.98</v>
      </c>
      <c r="D214">
        <v>8.15</v>
      </c>
      <c r="E214">
        <v>57.5</v>
      </c>
    </row>
    <row r="215" spans="1:5" x14ac:dyDescent="0.3">
      <c r="A215" t="s">
        <v>246</v>
      </c>
      <c r="B215">
        <v>7.48</v>
      </c>
      <c r="C215">
        <v>0.48</v>
      </c>
      <c r="D215">
        <v>7</v>
      </c>
      <c r="E215">
        <v>70.8</v>
      </c>
    </row>
    <row r="216" spans="1:5" x14ac:dyDescent="0.3">
      <c r="A216" t="s">
        <v>247</v>
      </c>
      <c r="B216">
        <v>10.029999999999999</v>
      </c>
      <c r="C216">
        <v>1.22</v>
      </c>
      <c r="D216">
        <v>8.81</v>
      </c>
      <c r="E216">
        <v>46.8</v>
      </c>
    </row>
    <row r="217" spans="1:5" x14ac:dyDescent="0.3">
      <c r="A217" t="s">
        <v>248</v>
      </c>
      <c r="B217">
        <v>5.5</v>
      </c>
      <c r="C217">
        <v>1.97</v>
      </c>
      <c r="D217">
        <v>3.53</v>
      </c>
      <c r="E217">
        <v>64.2</v>
      </c>
    </row>
    <row r="218" spans="1:5" x14ac:dyDescent="0.3">
      <c r="A218" t="s">
        <v>249</v>
      </c>
      <c r="B218">
        <v>9.5299999999999994</v>
      </c>
      <c r="C218">
        <v>2.23</v>
      </c>
      <c r="D218">
        <v>7.3</v>
      </c>
      <c r="E218">
        <v>46.6</v>
      </c>
    </row>
    <row r="219" spans="1:5" x14ac:dyDescent="0.3">
      <c r="A219" t="s">
        <v>250</v>
      </c>
      <c r="B219">
        <v>8.16</v>
      </c>
      <c r="C219">
        <v>0.92</v>
      </c>
      <c r="D219">
        <v>7.24</v>
      </c>
      <c r="E219">
        <v>56.6</v>
      </c>
    </row>
    <row r="220" spans="1:5" x14ac:dyDescent="0.3">
      <c r="A220" t="s">
        <v>251</v>
      </c>
      <c r="B220">
        <v>9.32</v>
      </c>
      <c r="C220">
        <v>0.8</v>
      </c>
      <c r="D220">
        <v>8.52</v>
      </c>
      <c r="E220">
        <v>56.3</v>
      </c>
    </row>
    <row r="221" spans="1:5" x14ac:dyDescent="0.3">
      <c r="A221" t="s">
        <v>252</v>
      </c>
      <c r="B221">
        <v>7.42</v>
      </c>
      <c r="C221">
        <v>1.06</v>
      </c>
      <c r="D221">
        <v>6.36</v>
      </c>
      <c r="E221">
        <v>72.900000000000006</v>
      </c>
    </row>
    <row r="222" spans="1:5" x14ac:dyDescent="0.3">
      <c r="A222" t="s">
        <v>253</v>
      </c>
      <c r="B222">
        <v>8.06</v>
      </c>
      <c r="C222">
        <v>1.85</v>
      </c>
      <c r="D222">
        <v>6.21</v>
      </c>
      <c r="E222">
        <v>56.6</v>
      </c>
    </row>
    <row r="223" spans="1:5" x14ac:dyDescent="0.3">
      <c r="A223" t="s">
        <v>254</v>
      </c>
      <c r="B223">
        <v>9.51</v>
      </c>
      <c r="C223">
        <v>2.33</v>
      </c>
      <c r="D223">
        <v>7.18</v>
      </c>
      <c r="E223">
        <v>49</v>
      </c>
    </row>
    <row r="224" spans="1:5" x14ac:dyDescent="0.3">
      <c r="A224" t="s">
        <v>255</v>
      </c>
      <c r="B224">
        <v>11.85</v>
      </c>
      <c r="C224">
        <v>6.4</v>
      </c>
      <c r="D224">
        <v>5.45</v>
      </c>
      <c r="E224">
        <v>32.700000000000003</v>
      </c>
    </row>
    <row r="225" spans="1:5" x14ac:dyDescent="0.3">
      <c r="A225" t="s">
        <v>256</v>
      </c>
      <c r="B225">
        <v>10.64</v>
      </c>
      <c r="C225">
        <v>1.25</v>
      </c>
      <c r="D225">
        <v>9.39</v>
      </c>
      <c r="E225">
        <v>36.5</v>
      </c>
    </row>
    <row r="226" spans="1:5" x14ac:dyDescent="0.3">
      <c r="A226" t="s">
        <v>257</v>
      </c>
      <c r="B226">
        <v>7.51</v>
      </c>
      <c r="C226">
        <v>0.73</v>
      </c>
      <c r="D226">
        <v>6.78</v>
      </c>
      <c r="E226">
        <v>58.5</v>
      </c>
    </row>
    <row r="227" spans="1:5" x14ac:dyDescent="0.3">
      <c r="A227" t="s">
        <v>258</v>
      </c>
      <c r="B227">
        <v>6.2</v>
      </c>
      <c r="C227">
        <v>0.31</v>
      </c>
      <c r="D227">
        <v>5.89</v>
      </c>
      <c r="E227">
        <v>60.7</v>
      </c>
    </row>
    <row r="228" spans="1:5" x14ac:dyDescent="0.3">
      <c r="A228" t="s">
        <v>259</v>
      </c>
      <c r="B228">
        <v>7.26</v>
      </c>
      <c r="C228">
        <v>0.96</v>
      </c>
      <c r="D228">
        <v>6.3</v>
      </c>
      <c r="E228">
        <v>58.8</v>
      </c>
    </row>
    <row r="229" spans="1:5" x14ac:dyDescent="0.3">
      <c r="A229" t="s">
        <v>260</v>
      </c>
      <c r="B229">
        <v>10.23</v>
      </c>
      <c r="C229">
        <v>3.11</v>
      </c>
      <c r="D229">
        <v>7.12</v>
      </c>
      <c r="E229">
        <v>44.1</v>
      </c>
    </row>
    <row r="230" spans="1:5" x14ac:dyDescent="0.3">
      <c r="A230" t="s">
        <v>261</v>
      </c>
      <c r="B230">
        <v>10.18</v>
      </c>
      <c r="C230">
        <v>5.4</v>
      </c>
      <c r="D230">
        <v>4.78</v>
      </c>
      <c r="E230">
        <v>42.1</v>
      </c>
    </row>
    <row r="231" spans="1:5" x14ac:dyDescent="0.3">
      <c r="A231" t="s">
        <v>262</v>
      </c>
      <c r="B231">
        <v>8.98</v>
      </c>
      <c r="C231">
        <v>1.47</v>
      </c>
      <c r="D231">
        <v>7.51</v>
      </c>
      <c r="E231">
        <v>55.5</v>
      </c>
    </row>
    <row r="232" spans="1:5" x14ac:dyDescent="0.3">
      <c r="A232" t="s">
        <v>263</v>
      </c>
      <c r="B232">
        <v>10.39</v>
      </c>
      <c r="C232">
        <v>0.96</v>
      </c>
      <c r="D232">
        <v>9.43</v>
      </c>
      <c r="E232">
        <v>46.3</v>
      </c>
    </row>
    <row r="233" spans="1:5" x14ac:dyDescent="0.3">
      <c r="A233" t="s">
        <v>264</v>
      </c>
      <c r="B233">
        <v>8.7100000000000009</v>
      </c>
      <c r="C233">
        <v>0.48</v>
      </c>
      <c r="D233">
        <v>8.23</v>
      </c>
      <c r="E233">
        <v>48.5</v>
      </c>
    </row>
    <row r="234" spans="1:5" x14ac:dyDescent="0.3">
      <c r="A234" t="s">
        <v>265</v>
      </c>
      <c r="B234">
        <v>9.0399999999999991</v>
      </c>
      <c r="C234">
        <v>0.45</v>
      </c>
      <c r="D234">
        <v>8.59</v>
      </c>
      <c r="E234">
        <v>49.9</v>
      </c>
    </row>
    <row r="235" spans="1:5" x14ac:dyDescent="0.3">
      <c r="A235" t="s">
        <v>266</v>
      </c>
      <c r="B235">
        <v>7.05</v>
      </c>
      <c r="C235">
        <v>1.19</v>
      </c>
      <c r="D235">
        <v>5.86</v>
      </c>
      <c r="E235">
        <v>69.099999999999994</v>
      </c>
    </row>
    <row r="236" spans="1:5" x14ac:dyDescent="0.3">
      <c r="A236" t="s">
        <v>267</v>
      </c>
      <c r="B236">
        <v>7.76</v>
      </c>
      <c r="C236">
        <v>2.5</v>
      </c>
      <c r="D236">
        <v>5.26</v>
      </c>
      <c r="E236">
        <v>60.6</v>
      </c>
    </row>
    <row r="237" spans="1:5" x14ac:dyDescent="0.3">
      <c r="A237" t="s">
        <v>268</v>
      </c>
      <c r="B237">
        <v>6.86</v>
      </c>
      <c r="C237">
        <v>0.72</v>
      </c>
      <c r="D237">
        <v>6.14</v>
      </c>
      <c r="E237">
        <v>82.7</v>
      </c>
    </row>
    <row r="238" spans="1:5" x14ac:dyDescent="0.3">
      <c r="A238" t="s">
        <v>269</v>
      </c>
      <c r="B238">
        <v>10.39</v>
      </c>
      <c r="C238">
        <v>0.56999999999999995</v>
      </c>
      <c r="D238">
        <v>9.82</v>
      </c>
      <c r="E238">
        <v>47.9</v>
      </c>
    </row>
    <row r="239" spans="1:5" x14ac:dyDescent="0.3">
      <c r="A239" t="s">
        <v>270</v>
      </c>
      <c r="B239">
        <v>10.130000000000001</v>
      </c>
      <c r="C239">
        <v>0.51</v>
      </c>
      <c r="D239">
        <v>9.6199999999999992</v>
      </c>
      <c r="E239">
        <v>38.6</v>
      </c>
    </row>
    <row r="240" spans="1:5" x14ac:dyDescent="0.3">
      <c r="A240" t="s">
        <v>271</v>
      </c>
      <c r="B240">
        <v>8.8000000000000007</v>
      </c>
      <c r="C240">
        <v>6.69</v>
      </c>
      <c r="D240">
        <v>2.11</v>
      </c>
      <c r="E240">
        <v>76.900000000000006</v>
      </c>
    </row>
    <row r="241" spans="1:5" x14ac:dyDescent="0.3">
      <c r="A241" t="s">
        <v>272</v>
      </c>
      <c r="B241">
        <v>8.4499999999999993</v>
      </c>
      <c r="C241">
        <v>1.83</v>
      </c>
      <c r="D241">
        <v>6.62</v>
      </c>
      <c r="E241">
        <v>72.5</v>
      </c>
    </row>
    <row r="242" spans="1:5" x14ac:dyDescent="0.3">
      <c r="A242" t="s">
        <v>273</v>
      </c>
      <c r="B242">
        <v>10.130000000000001</v>
      </c>
      <c r="C242">
        <v>2.5499999999999998</v>
      </c>
      <c r="D242">
        <v>7.58</v>
      </c>
      <c r="E242">
        <v>43.8</v>
      </c>
    </row>
    <row r="243" spans="1:5" x14ac:dyDescent="0.3">
      <c r="A243" t="s">
        <v>274</v>
      </c>
      <c r="B243">
        <v>9.61</v>
      </c>
      <c r="C243">
        <v>5.75</v>
      </c>
      <c r="D243">
        <v>3.86</v>
      </c>
      <c r="E243">
        <v>59.5</v>
      </c>
    </row>
    <row r="244" spans="1:5" x14ac:dyDescent="0.3">
      <c r="A244" t="s">
        <v>275</v>
      </c>
      <c r="B244">
        <v>12.69</v>
      </c>
      <c r="C244">
        <v>5.84</v>
      </c>
      <c r="D244">
        <v>6.85</v>
      </c>
      <c r="E244">
        <v>51.4</v>
      </c>
    </row>
    <row r="245" spans="1:5" x14ac:dyDescent="0.3">
      <c r="A245" t="s">
        <v>276</v>
      </c>
      <c r="B245">
        <v>11.19</v>
      </c>
      <c r="C245">
        <v>4.91</v>
      </c>
      <c r="D245">
        <v>6.28</v>
      </c>
      <c r="E245">
        <v>41</v>
      </c>
    </row>
    <row r="246" spans="1:5" x14ac:dyDescent="0.3">
      <c r="A246" t="s">
        <v>277</v>
      </c>
      <c r="B246">
        <v>4.87</v>
      </c>
      <c r="C246">
        <v>0.41</v>
      </c>
      <c r="D246">
        <v>4.46</v>
      </c>
      <c r="E246">
        <v>88.9</v>
      </c>
    </row>
    <row r="247" spans="1:5" x14ac:dyDescent="0.3">
      <c r="A247" t="s">
        <v>278</v>
      </c>
      <c r="B247">
        <v>13.66</v>
      </c>
      <c r="C247">
        <v>0.79</v>
      </c>
      <c r="D247">
        <v>12.87</v>
      </c>
      <c r="E247">
        <v>36.5</v>
      </c>
    </row>
    <row r="248" spans="1:5" x14ac:dyDescent="0.3">
      <c r="A248" t="s">
        <v>279</v>
      </c>
      <c r="B248">
        <v>9.8000000000000007</v>
      </c>
      <c r="C248">
        <v>0.65</v>
      </c>
      <c r="D248">
        <v>9.15</v>
      </c>
      <c r="E248">
        <v>53.2</v>
      </c>
    </row>
    <row r="249" spans="1:5" x14ac:dyDescent="0.3">
      <c r="A249" t="s">
        <v>280</v>
      </c>
      <c r="B249">
        <v>6.42</v>
      </c>
      <c r="C249">
        <v>4.43</v>
      </c>
      <c r="D249">
        <v>1.99</v>
      </c>
      <c r="E249">
        <v>65.599999999999994</v>
      </c>
    </row>
    <row r="250" spans="1:5" x14ac:dyDescent="0.3">
      <c r="A250" t="s">
        <v>281</v>
      </c>
      <c r="B250">
        <v>9.26</v>
      </c>
      <c r="C250">
        <v>0.46</v>
      </c>
      <c r="D250">
        <v>8.8000000000000007</v>
      </c>
      <c r="E250">
        <v>65.099999999999994</v>
      </c>
    </row>
    <row r="251" spans="1:5" x14ac:dyDescent="0.3">
      <c r="A251" t="s">
        <v>282</v>
      </c>
      <c r="B251">
        <v>9.66</v>
      </c>
      <c r="C251">
        <v>1.1599999999999999</v>
      </c>
      <c r="D251">
        <v>8.5</v>
      </c>
      <c r="E251">
        <v>50.5</v>
      </c>
    </row>
    <row r="252" spans="1:5" x14ac:dyDescent="0.3">
      <c r="A252" t="s">
        <v>284</v>
      </c>
      <c r="B252">
        <v>8.8699999999999992</v>
      </c>
      <c r="C252">
        <v>1</v>
      </c>
      <c r="D252">
        <v>7.87</v>
      </c>
      <c r="E252">
        <v>48.8</v>
      </c>
    </row>
    <row r="253" spans="1:5" x14ac:dyDescent="0.3">
      <c r="A253" t="s">
        <v>285</v>
      </c>
      <c r="B253">
        <v>8.89</v>
      </c>
      <c r="C253">
        <v>2.93</v>
      </c>
      <c r="D253">
        <v>5.96</v>
      </c>
      <c r="E253">
        <v>65.7</v>
      </c>
    </row>
    <row r="254" spans="1:5" x14ac:dyDescent="0.3">
      <c r="A254" t="s">
        <v>286</v>
      </c>
      <c r="B254">
        <v>7.83</v>
      </c>
      <c r="C254">
        <v>1.79</v>
      </c>
      <c r="D254">
        <v>6.04</v>
      </c>
      <c r="E254">
        <v>60.9</v>
      </c>
    </row>
    <row r="255" spans="1:5" x14ac:dyDescent="0.3">
      <c r="A255" t="s">
        <v>287</v>
      </c>
      <c r="B255">
        <v>14.18</v>
      </c>
      <c r="C255">
        <v>2.4</v>
      </c>
      <c r="D255">
        <v>11.78</v>
      </c>
      <c r="E255">
        <v>48.1</v>
      </c>
    </row>
    <row r="256" spans="1:5" x14ac:dyDescent="0.3">
      <c r="A256" t="s">
        <v>288</v>
      </c>
      <c r="B256">
        <v>7.64</v>
      </c>
      <c r="C256">
        <v>0.55000000000000004</v>
      </c>
      <c r="D256">
        <v>7.09</v>
      </c>
      <c r="E256">
        <v>58.3</v>
      </c>
    </row>
    <row r="257" spans="1:5" x14ac:dyDescent="0.3">
      <c r="A257" t="s">
        <v>289</v>
      </c>
      <c r="B257">
        <v>8.86</v>
      </c>
      <c r="C257">
        <v>0.68</v>
      </c>
      <c r="D257">
        <v>8.18</v>
      </c>
      <c r="E257">
        <v>50.4</v>
      </c>
    </row>
    <row r="258" spans="1:5" x14ac:dyDescent="0.3">
      <c r="A258" t="s">
        <v>290</v>
      </c>
      <c r="B258">
        <v>8.08</v>
      </c>
      <c r="C258">
        <v>1.42</v>
      </c>
      <c r="D258">
        <v>6.66</v>
      </c>
      <c r="E258">
        <v>43.6</v>
      </c>
    </row>
    <row r="259" spans="1:5" x14ac:dyDescent="0.3">
      <c r="A259" t="s">
        <v>291</v>
      </c>
      <c r="B259">
        <v>7.95</v>
      </c>
      <c r="C259">
        <v>0.88</v>
      </c>
      <c r="D259">
        <v>7.07</v>
      </c>
      <c r="E259">
        <v>67.3</v>
      </c>
    </row>
    <row r="260" spans="1:5" x14ac:dyDescent="0.3">
      <c r="A260" t="s">
        <v>292</v>
      </c>
      <c r="B260">
        <v>9.23</v>
      </c>
      <c r="C260">
        <v>6.1</v>
      </c>
      <c r="D260">
        <v>3.13</v>
      </c>
      <c r="E260">
        <v>52.2</v>
      </c>
    </row>
    <row r="261" spans="1:5" x14ac:dyDescent="0.3">
      <c r="A261" t="s">
        <v>293</v>
      </c>
      <c r="B261">
        <v>9.1999999999999993</v>
      </c>
      <c r="C261">
        <v>2.5499999999999998</v>
      </c>
      <c r="D261">
        <v>6.65</v>
      </c>
      <c r="E261">
        <v>39.799999999999997</v>
      </c>
    </row>
    <row r="262" spans="1:5" x14ac:dyDescent="0.3">
      <c r="A262" t="s">
        <v>294</v>
      </c>
      <c r="B262">
        <v>11.55</v>
      </c>
      <c r="C262">
        <v>0.57999999999999996</v>
      </c>
      <c r="D262">
        <v>10.97</v>
      </c>
      <c r="E262">
        <v>56.2</v>
      </c>
    </row>
    <row r="263" spans="1:5" x14ac:dyDescent="0.3">
      <c r="A263" t="s">
        <v>295</v>
      </c>
      <c r="B263">
        <v>6.15</v>
      </c>
      <c r="C263">
        <v>0.37</v>
      </c>
      <c r="D263">
        <v>5.78</v>
      </c>
      <c r="E263">
        <v>64.599999999999994</v>
      </c>
    </row>
    <row r="264" spans="1:5" x14ac:dyDescent="0.3">
      <c r="A264" t="s">
        <v>296</v>
      </c>
      <c r="B264">
        <v>9.01</v>
      </c>
      <c r="C264">
        <v>2.73</v>
      </c>
      <c r="D264">
        <v>6.28</v>
      </c>
      <c r="E264">
        <v>49</v>
      </c>
    </row>
    <row r="265" spans="1:5" x14ac:dyDescent="0.3">
      <c r="A265" t="s">
        <v>297</v>
      </c>
      <c r="B265">
        <v>5.87</v>
      </c>
      <c r="C265">
        <v>3.68</v>
      </c>
      <c r="D265">
        <v>2.19</v>
      </c>
      <c r="E265">
        <v>62.2</v>
      </c>
    </row>
    <row r="266" spans="1:5" x14ac:dyDescent="0.3">
      <c r="A266" t="s">
        <v>298</v>
      </c>
      <c r="B266">
        <v>10.130000000000001</v>
      </c>
      <c r="C266">
        <v>5.13</v>
      </c>
      <c r="D266">
        <v>5</v>
      </c>
      <c r="E266">
        <v>47.1</v>
      </c>
    </row>
    <row r="267" spans="1:5" x14ac:dyDescent="0.3">
      <c r="A267" t="s">
        <v>299</v>
      </c>
      <c r="B267">
        <v>10.57</v>
      </c>
      <c r="C267">
        <v>0.53</v>
      </c>
      <c r="D267">
        <v>10.039999999999999</v>
      </c>
      <c r="E267">
        <v>60.4</v>
      </c>
    </row>
    <row r="268" spans="1:5" x14ac:dyDescent="0.3">
      <c r="A268" t="s">
        <v>300</v>
      </c>
      <c r="B268">
        <v>12.39</v>
      </c>
      <c r="C268">
        <v>5.27</v>
      </c>
      <c r="D268">
        <v>7.12</v>
      </c>
      <c r="E268">
        <v>20.6</v>
      </c>
    </row>
    <row r="269" spans="1:5" x14ac:dyDescent="0.3">
      <c r="A269" t="s">
        <v>301</v>
      </c>
      <c r="B269">
        <v>19.170000000000002</v>
      </c>
      <c r="C269">
        <v>12.04</v>
      </c>
      <c r="D269">
        <v>7.13</v>
      </c>
      <c r="E269">
        <v>28.4</v>
      </c>
    </row>
    <row r="270" spans="1:5" x14ac:dyDescent="0.3">
      <c r="A270" t="s">
        <v>302</v>
      </c>
      <c r="B270">
        <v>9.94</v>
      </c>
      <c r="C270">
        <v>1.1100000000000001</v>
      </c>
      <c r="D270">
        <v>8.83</v>
      </c>
      <c r="E270">
        <v>42.2</v>
      </c>
    </row>
    <row r="271" spans="1:5" x14ac:dyDescent="0.3">
      <c r="A271" t="s">
        <v>303</v>
      </c>
      <c r="B271">
        <v>4.47</v>
      </c>
      <c r="C271">
        <v>1.04</v>
      </c>
      <c r="D271">
        <v>3.43</v>
      </c>
      <c r="E271">
        <v>88.1</v>
      </c>
    </row>
    <row r="272" spans="1:5" x14ac:dyDescent="0.3">
      <c r="A272" t="s">
        <v>304</v>
      </c>
      <c r="B272">
        <v>10.54</v>
      </c>
      <c r="C272">
        <v>6.2</v>
      </c>
      <c r="D272">
        <v>4.34</v>
      </c>
      <c r="E272">
        <v>40.4</v>
      </c>
    </row>
    <row r="273" spans="1:5" x14ac:dyDescent="0.3">
      <c r="A273" t="s">
        <v>305</v>
      </c>
      <c r="B273">
        <v>7.24</v>
      </c>
      <c r="C273">
        <v>0.67</v>
      </c>
      <c r="D273">
        <v>6.57</v>
      </c>
      <c r="E273">
        <v>54</v>
      </c>
    </row>
    <row r="274" spans="1:5" x14ac:dyDescent="0.3">
      <c r="A274" t="s">
        <v>306</v>
      </c>
      <c r="B274">
        <v>9.07</v>
      </c>
      <c r="C274">
        <v>3.61</v>
      </c>
      <c r="D274">
        <v>5.46</v>
      </c>
      <c r="E274">
        <v>41.9</v>
      </c>
    </row>
    <row r="275" spans="1:5" x14ac:dyDescent="0.3">
      <c r="A275" t="s">
        <v>307</v>
      </c>
      <c r="B275">
        <v>9.51</v>
      </c>
      <c r="C275">
        <v>1.26</v>
      </c>
      <c r="D275">
        <v>8.25</v>
      </c>
      <c r="E275">
        <v>70.3</v>
      </c>
    </row>
    <row r="276" spans="1:5" x14ac:dyDescent="0.3">
      <c r="A276" t="s">
        <v>308</v>
      </c>
      <c r="B276">
        <v>14.09</v>
      </c>
      <c r="C276">
        <v>7.1</v>
      </c>
      <c r="D276">
        <v>6.99</v>
      </c>
      <c r="E276">
        <v>51.3</v>
      </c>
    </row>
    <row r="277" spans="1:5" x14ac:dyDescent="0.3">
      <c r="A277" t="s">
        <v>309</v>
      </c>
      <c r="B277">
        <v>5.59</v>
      </c>
      <c r="C277">
        <v>1.48</v>
      </c>
      <c r="D277">
        <v>4.1100000000000003</v>
      </c>
      <c r="E277">
        <v>75.099999999999994</v>
      </c>
    </row>
    <row r="278" spans="1:5" x14ac:dyDescent="0.3">
      <c r="A278" t="s">
        <v>310</v>
      </c>
      <c r="B278">
        <v>2.44</v>
      </c>
      <c r="C278">
        <v>0.28999999999999998</v>
      </c>
      <c r="D278">
        <v>2.15</v>
      </c>
      <c r="E278">
        <v>65.599999999999994</v>
      </c>
    </row>
    <row r="279" spans="1:5" x14ac:dyDescent="0.3">
      <c r="A279" t="s">
        <v>311</v>
      </c>
      <c r="B279">
        <v>8.3800000000000008</v>
      </c>
      <c r="C279">
        <v>0.42</v>
      </c>
      <c r="D279">
        <v>7.96</v>
      </c>
      <c r="E279">
        <v>75.7</v>
      </c>
    </row>
    <row r="280" spans="1:5" x14ac:dyDescent="0.3">
      <c r="A280" t="s">
        <v>312</v>
      </c>
      <c r="B280">
        <v>9.26</v>
      </c>
      <c r="C280">
        <v>3.6</v>
      </c>
      <c r="D280">
        <v>5.66</v>
      </c>
      <c r="E280">
        <v>43.6</v>
      </c>
    </row>
    <row r="281" spans="1:5" x14ac:dyDescent="0.3">
      <c r="A281" t="s">
        <v>313</v>
      </c>
      <c r="B281">
        <v>12.73</v>
      </c>
      <c r="C281">
        <v>2.63</v>
      </c>
      <c r="D281">
        <v>10.1</v>
      </c>
      <c r="E281">
        <v>30.5</v>
      </c>
    </row>
    <row r="282" spans="1:5" x14ac:dyDescent="0.3">
      <c r="A282" t="s">
        <v>314</v>
      </c>
      <c r="B282">
        <v>10.199999999999999</v>
      </c>
      <c r="C282">
        <v>0.51</v>
      </c>
      <c r="D282">
        <v>9.69</v>
      </c>
      <c r="E282">
        <v>42.2</v>
      </c>
    </row>
    <row r="283" spans="1:5" x14ac:dyDescent="0.3">
      <c r="A283" t="s">
        <v>315</v>
      </c>
      <c r="B283">
        <v>11.67</v>
      </c>
      <c r="C283">
        <v>2.83</v>
      </c>
      <c r="D283">
        <v>8.84</v>
      </c>
      <c r="E283">
        <v>59.6</v>
      </c>
    </row>
    <row r="284" spans="1:5" x14ac:dyDescent="0.3">
      <c r="A284" t="s">
        <v>316</v>
      </c>
      <c r="B284">
        <v>9.75</v>
      </c>
      <c r="C284">
        <v>2.5099999999999998</v>
      </c>
      <c r="D284">
        <v>7.24</v>
      </c>
      <c r="E284">
        <v>66.2</v>
      </c>
    </row>
    <row r="285" spans="1:5" x14ac:dyDescent="0.3">
      <c r="A285" t="s">
        <v>317</v>
      </c>
      <c r="B285">
        <v>5.03</v>
      </c>
      <c r="C285">
        <v>0.89</v>
      </c>
      <c r="D285">
        <v>4.1399999999999997</v>
      </c>
      <c r="E285">
        <v>64.599999999999994</v>
      </c>
    </row>
    <row r="286" spans="1:5" x14ac:dyDescent="0.3">
      <c r="A286" t="s">
        <v>318</v>
      </c>
      <c r="B286">
        <v>8.8800000000000008</v>
      </c>
      <c r="C286">
        <v>0.44</v>
      </c>
      <c r="D286">
        <v>8.44</v>
      </c>
      <c r="E286">
        <v>42.4</v>
      </c>
    </row>
    <row r="287" spans="1:5" x14ac:dyDescent="0.3">
      <c r="A287" t="s">
        <v>319</v>
      </c>
      <c r="B287">
        <v>11.12</v>
      </c>
      <c r="C287">
        <v>1.17</v>
      </c>
      <c r="D287">
        <v>9.9499999999999993</v>
      </c>
      <c r="E287">
        <v>47</v>
      </c>
    </row>
    <row r="288" spans="1:5" x14ac:dyDescent="0.3">
      <c r="A288" t="s">
        <v>320</v>
      </c>
      <c r="B288">
        <v>5.35</v>
      </c>
      <c r="C288">
        <v>0.31</v>
      </c>
      <c r="D288">
        <v>5.04</v>
      </c>
      <c r="E288">
        <v>75.7</v>
      </c>
    </row>
    <row r="289" spans="1:5" x14ac:dyDescent="0.3">
      <c r="A289" t="s">
        <v>321</v>
      </c>
      <c r="B289">
        <v>10.38</v>
      </c>
      <c r="C289">
        <v>4.83</v>
      </c>
      <c r="D289">
        <v>5.55</v>
      </c>
      <c r="E289">
        <v>49.2</v>
      </c>
    </row>
    <row r="290" spans="1:5" x14ac:dyDescent="0.3">
      <c r="A290" t="s">
        <v>322</v>
      </c>
      <c r="B290">
        <v>10.79</v>
      </c>
      <c r="C290">
        <v>0.54</v>
      </c>
      <c r="D290">
        <v>10.25</v>
      </c>
      <c r="E290">
        <v>46.8</v>
      </c>
    </row>
    <row r="291" spans="1:5" x14ac:dyDescent="0.3">
      <c r="A291" t="s">
        <v>323</v>
      </c>
      <c r="B291">
        <v>7.38</v>
      </c>
      <c r="C291">
        <v>1.53</v>
      </c>
      <c r="D291">
        <v>5.85</v>
      </c>
      <c r="E291">
        <v>49.5</v>
      </c>
    </row>
    <row r="292" spans="1:5" x14ac:dyDescent="0.3">
      <c r="A292" t="s">
        <v>324</v>
      </c>
      <c r="B292">
        <v>10.130000000000001</v>
      </c>
      <c r="C292">
        <v>2.61</v>
      </c>
      <c r="D292">
        <v>7.52</v>
      </c>
      <c r="E292">
        <v>40.6</v>
      </c>
    </row>
    <row r="293" spans="1:5" x14ac:dyDescent="0.3">
      <c r="A293" t="s">
        <v>325</v>
      </c>
      <c r="B293">
        <v>6.4</v>
      </c>
      <c r="C293">
        <v>0.54</v>
      </c>
      <c r="D293">
        <v>5.86</v>
      </c>
      <c r="E293">
        <v>66.900000000000006</v>
      </c>
    </row>
    <row r="294" spans="1:5" x14ac:dyDescent="0.3">
      <c r="A294" t="s">
        <v>326</v>
      </c>
      <c r="B294">
        <v>8.6199999999999992</v>
      </c>
      <c r="C294">
        <v>3.15</v>
      </c>
      <c r="D294">
        <v>5.47</v>
      </c>
      <c r="E294">
        <v>38.6</v>
      </c>
    </row>
    <row r="295" spans="1:5" x14ac:dyDescent="0.3">
      <c r="A295" t="s">
        <v>327</v>
      </c>
      <c r="B295">
        <v>11.05</v>
      </c>
      <c r="C295">
        <v>0.81</v>
      </c>
      <c r="D295">
        <v>10.24</v>
      </c>
      <c r="E295">
        <v>34.4</v>
      </c>
    </row>
    <row r="296" spans="1:5" x14ac:dyDescent="0.3">
      <c r="A296" t="s">
        <v>328</v>
      </c>
      <c r="B296">
        <v>8.5500000000000007</v>
      </c>
      <c r="C296">
        <v>2.65</v>
      </c>
      <c r="D296">
        <v>5.9</v>
      </c>
      <c r="E296">
        <v>47.8</v>
      </c>
    </row>
    <row r="297" spans="1:5" x14ac:dyDescent="0.3">
      <c r="A297" t="s">
        <v>329</v>
      </c>
      <c r="B297">
        <v>10.36</v>
      </c>
      <c r="C297">
        <v>0.52</v>
      </c>
      <c r="D297">
        <v>9.84</v>
      </c>
      <c r="E297">
        <v>46.3</v>
      </c>
    </row>
    <row r="298" spans="1:5" x14ac:dyDescent="0.3">
      <c r="A298" t="s">
        <v>330</v>
      </c>
      <c r="B298">
        <v>6.82</v>
      </c>
      <c r="C298">
        <v>0.98</v>
      </c>
      <c r="D298">
        <v>5.84</v>
      </c>
      <c r="E298">
        <v>48.1</v>
      </c>
    </row>
    <row r="299" spans="1:5" x14ac:dyDescent="0.3">
      <c r="A299" t="s">
        <v>331</v>
      </c>
      <c r="B299">
        <v>12.63</v>
      </c>
      <c r="C299">
        <v>1.68</v>
      </c>
      <c r="D299">
        <v>10.95</v>
      </c>
      <c r="E299">
        <v>41.9</v>
      </c>
    </row>
    <row r="300" spans="1:5" x14ac:dyDescent="0.3">
      <c r="A300" t="s">
        <v>332</v>
      </c>
      <c r="B300">
        <v>10.07</v>
      </c>
      <c r="C300">
        <v>1.71</v>
      </c>
      <c r="D300">
        <v>8.36</v>
      </c>
      <c r="E300">
        <v>43.4</v>
      </c>
    </row>
    <row r="301" spans="1:5" x14ac:dyDescent="0.3">
      <c r="A301" t="s">
        <v>333</v>
      </c>
      <c r="B301">
        <v>10.44</v>
      </c>
      <c r="C301">
        <v>1.87</v>
      </c>
      <c r="D301">
        <v>8.57</v>
      </c>
      <c r="E301">
        <v>52.2</v>
      </c>
    </row>
    <row r="302" spans="1:5" x14ac:dyDescent="0.3">
      <c r="A302" t="s">
        <v>334</v>
      </c>
      <c r="B302">
        <v>7.77</v>
      </c>
      <c r="C302">
        <v>1.38</v>
      </c>
      <c r="D302">
        <v>6.39</v>
      </c>
      <c r="E302">
        <v>49.8</v>
      </c>
    </row>
    <row r="303" spans="1:5" x14ac:dyDescent="0.3">
      <c r="A303" t="s">
        <v>335</v>
      </c>
      <c r="B303">
        <v>8.4499999999999993</v>
      </c>
      <c r="C303">
        <v>2.96</v>
      </c>
      <c r="D303">
        <v>5.49</v>
      </c>
      <c r="E303">
        <v>60.2</v>
      </c>
    </row>
    <row r="304" spans="1:5" x14ac:dyDescent="0.3">
      <c r="A304" t="s">
        <v>336</v>
      </c>
      <c r="B304">
        <v>7.77</v>
      </c>
      <c r="C304">
        <v>3.57</v>
      </c>
      <c r="D304">
        <v>4.2</v>
      </c>
      <c r="E304">
        <v>56.6</v>
      </c>
    </row>
    <row r="305" spans="1:5" x14ac:dyDescent="0.3">
      <c r="A305" t="s">
        <v>337</v>
      </c>
      <c r="B305">
        <v>8.56</v>
      </c>
      <c r="C305">
        <v>3.17</v>
      </c>
      <c r="D305">
        <v>5.39</v>
      </c>
      <c r="E305">
        <v>49.7</v>
      </c>
    </row>
    <row r="306" spans="1:5" x14ac:dyDescent="0.3">
      <c r="A306" t="s">
        <v>338</v>
      </c>
      <c r="B306">
        <v>5.18</v>
      </c>
      <c r="C306">
        <v>0.73</v>
      </c>
      <c r="D306">
        <v>4.45</v>
      </c>
      <c r="E306">
        <v>60.8</v>
      </c>
    </row>
    <row r="307" spans="1:5" x14ac:dyDescent="0.3">
      <c r="A307" t="s">
        <v>339</v>
      </c>
      <c r="B307">
        <v>9.5500000000000007</v>
      </c>
      <c r="C307">
        <v>1.33</v>
      </c>
      <c r="D307">
        <v>8.2200000000000006</v>
      </c>
      <c r="E307">
        <v>49.6</v>
      </c>
    </row>
    <row r="308" spans="1:5" x14ac:dyDescent="0.3">
      <c r="A308" t="s">
        <v>340</v>
      </c>
      <c r="B308">
        <v>9.73</v>
      </c>
      <c r="C308">
        <v>1.55</v>
      </c>
      <c r="D308">
        <v>8.18</v>
      </c>
      <c r="E308">
        <v>38.1</v>
      </c>
    </row>
    <row r="309" spans="1:5" x14ac:dyDescent="0.3">
      <c r="A309" t="s">
        <v>341</v>
      </c>
      <c r="B309">
        <v>6.71</v>
      </c>
      <c r="C309">
        <v>1.59</v>
      </c>
      <c r="D309">
        <v>5.12</v>
      </c>
      <c r="E309">
        <v>55.3</v>
      </c>
    </row>
    <row r="310" spans="1:5" x14ac:dyDescent="0.3">
      <c r="A310" t="s">
        <v>342</v>
      </c>
      <c r="B310">
        <v>7.17</v>
      </c>
      <c r="C310">
        <v>1.87</v>
      </c>
      <c r="D310">
        <v>5.3</v>
      </c>
      <c r="E310">
        <v>80.2</v>
      </c>
    </row>
    <row r="311" spans="1:5" x14ac:dyDescent="0.3">
      <c r="A311" t="s">
        <v>343</v>
      </c>
      <c r="B311">
        <v>7.77</v>
      </c>
      <c r="C311">
        <v>0.39</v>
      </c>
      <c r="D311">
        <v>7.38</v>
      </c>
      <c r="E311">
        <v>72.7</v>
      </c>
    </row>
    <row r="312" spans="1:5" x14ac:dyDescent="0.3">
      <c r="A312" t="s">
        <v>344</v>
      </c>
      <c r="B312">
        <v>11.71</v>
      </c>
      <c r="C312">
        <v>3.83</v>
      </c>
      <c r="D312">
        <v>7.88</v>
      </c>
      <c r="E312">
        <v>40.6</v>
      </c>
    </row>
    <row r="313" spans="1:5" x14ac:dyDescent="0.3">
      <c r="A313" t="s">
        <v>345</v>
      </c>
      <c r="B313">
        <v>10.02</v>
      </c>
      <c r="C313">
        <v>0.5</v>
      </c>
      <c r="D313">
        <v>9.52</v>
      </c>
      <c r="E313">
        <v>40.799999999999997</v>
      </c>
    </row>
    <row r="314" spans="1:5" x14ac:dyDescent="0.3">
      <c r="A314" t="s">
        <v>346</v>
      </c>
      <c r="B314">
        <v>13.4</v>
      </c>
      <c r="C314">
        <v>4.99</v>
      </c>
      <c r="D314">
        <v>8.41</v>
      </c>
      <c r="E314">
        <v>43.6</v>
      </c>
    </row>
    <row r="315" spans="1:5" x14ac:dyDescent="0.3">
      <c r="A315" t="s">
        <v>347</v>
      </c>
      <c r="B315">
        <v>9.01</v>
      </c>
      <c r="C315">
        <v>0.45</v>
      </c>
      <c r="D315">
        <v>8.56</v>
      </c>
      <c r="E315">
        <v>63.7</v>
      </c>
    </row>
    <row r="316" spans="1:5" x14ac:dyDescent="0.3">
      <c r="A316" t="s">
        <v>348</v>
      </c>
      <c r="B316">
        <v>3.64</v>
      </c>
      <c r="C316">
        <v>0.28999999999999998</v>
      </c>
      <c r="D316">
        <v>3.35</v>
      </c>
      <c r="E316">
        <v>88.8</v>
      </c>
    </row>
    <row r="317" spans="1:5" x14ac:dyDescent="0.3">
      <c r="A317" t="s">
        <v>349</v>
      </c>
      <c r="B317">
        <v>9.17</v>
      </c>
      <c r="C317">
        <v>0.46</v>
      </c>
      <c r="D317">
        <v>8.7100000000000009</v>
      </c>
      <c r="E317">
        <v>54.7</v>
      </c>
    </row>
    <row r="318" spans="1:5" x14ac:dyDescent="0.3">
      <c r="A318" t="s">
        <v>350</v>
      </c>
      <c r="B318">
        <v>11.2</v>
      </c>
      <c r="C318">
        <v>4.76</v>
      </c>
      <c r="D318">
        <v>6.44</v>
      </c>
      <c r="E318">
        <v>40.799999999999997</v>
      </c>
    </row>
    <row r="319" spans="1:5" x14ac:dyDescent="0.3">
      <c r="A319" t="s">
        <v>351</v>
      </c>
      <c r="B319">
        <v>9.7799999999999994</v>
      </c>
      <c r="C319">
        <v>1.49</v>
      </c>
      <c r="D319">
        <v>8.2899999999999991</v>
      </c>
      <c r="E319">
        <v>49.5</v>
      </c>
    </row>
    <row r="320" spans="1:5" x14ac:dyDescent="0.3">
      <c r="A320" t="s">
        <v>352</v>
      </c>
      <c r="B320">
        <v>8.1199999999999992</v>
      </c>
      <c r="C320">
        <v>5.53</v>
      </c>
      <c r="D320">
        <v>2.59</v>
      </c>
      <c r="E320">
        <v>52.5</v>
      </c>
    </row>
    <row r="321" spans="1:5" x14ac:dyDescent="0.3">
      <c r="A321" t="s">
        <v>353</v>
      </c>
      <c r="B321">
        <v>9.61</v>
      </c>
      <c r="C321">
        <v>3.45</v>
      </c>
      <c r="D321">
        <v>6.16</v>
      </c>
      <c r="E321">
        <v>84</v>
      </c>
    </row>
    <row r="322" spans="1:5" x14ac:dyDescent="0.3">
      <c r="A322" t="s">
        <v>354</v>
      </c>
      <c r="B322">
        <v>13.08</v>
      </c>
      <c r="C322">
        <v>2.0499999999999998</v>
      </c>
      <c r="D322">
        <v>11.03</v>
      </c>
      <c r="E322">
        <v>40.5</v>
      </c>
    </row>
    <row r="323" spans="1:5" x14ac:dyDescent="0.3">
      <c r="A323" t="s">
        <v>355</v>
      </c>
      <c r="B323">
        <v>10.7</v>
      </c>
      <c r="C323">
        <v>2.1800000000000002</v>
      </c>
      <c r="D323">
        <v>8.52</v>
      </c>
      <c r="E323">
        <v>64</v>
      </c>
    </row>
    <row r="324" spans="1:5" x14ac:dyDescent="0.3">
      <c r="A324" t="s">
        <v>356</v>
      </c>
      <c r="B324">
        <v>10.31</v>
      </c>
      <c r="C324">
        <v>6.31</v>
      </c>
      <c r="D324">
        <v>4</v>
      </c>
      <c r="E324">
        <v>38.4</v>
      </c>
    </row>
    <row r="325" spans="1:5" x14ac:dyDescent="0.3">
      <c r="A325" t="s">
        <v>357</v>
      </c>
      <c r="B325">
        <v>10.6</v>
      </c>
      <c r="C325">
        <v>1.33</v>
      </c>
      <c r="D325">
        <v>9.27</v>
      </c>
      <c r="E325">
        <v>62.5</v>
      </c>
    </row>
    <row r="326" spans="1:5" x14ac:dyDescent="0.3">
      <c r="A326" t="s">
        <v>358</v>
      </c>
      <c r="B326">
        <v>11.1</v>
      </c>
      <c r="C326">
        <v>3.99</v>
      </c>
      <c r="D326">
        <v>7.11</v>
      </c>
      <c r="E326">
        <v>57.4</v>
      </c>
    </row>
    <row r="327" spans="1:5" x14ac:dyDescent="0.3">
      <c r="A327" t="s">
        <v>359</v>
      </c>
      <c r="B327">
        <v>10.119999999999999</v>
      </c>
      <c r="C327">
        <v>2.4</v>
      </c>
      <c r="D327">
        <v>7.72</v>
      </c>
      <c r="E327">
        <v>47.5</v>
      </c>
    </row>
    <row r="328" spans="1:5" x14ac:dyDescent="0.3">
      <c r="A328" t="s">
        <v>360</v>
      </c>
      <c r="B328">
        <v>6.85</v>
      </c>
      <c r="C328">
        <v>0.41</v>
      </c>
      <c r="D328">
        <v>6.44</v>
      </c>
      <c r="E328">
        <v>53.8</v>
      </c>
    </row>
    <row r="329" spans="1:5" x14ac:dyDescent="0.3">
      <c r="A329" t="s">
        <v>361</v>
      </c>
      <c r="B329">
        <v>9.7200000000000006</v>
      </c>
      <c r="C329">
        <v>0.67</v>
      </c>
      <c r="D329">
        <v>9.0500000000000007</v>
      </c>
      <c r="E329">
        <v>44.8</v>
      </c>
    </row>
    <row r="330" spans="1:5" x14ac:dyDescent="0.3">
      <c r="A330" t="s">
        <v>362</v>
      </c>
      <c r="B330">
        <v>10.6</v>
      </c>
      <c r="C330">
        <v>2.29</v>
      </c>
      <c r="D330">
        <v>8.31</v>
      </c>
      <c r="E330">
        <v>31.4</v>
      </c>
    </row>
    <row r="331" spans="1:5" x14ac:dyDescent="0.3">
      <c r="A331" t="s">
        <v>363</v>
      </c>
      <c r="B331">
        <v>11.54</v>
      </c>
      <c r="C331">
        <v>0.95</v>
      </c>
      <c r="D331">
        <v>10.59</v>
      </c>
      <c r="E331">
        <v>39.1</v>
      </c>
    </row>
    <row r="332" spans="1:5" x14ac:dyDescent="0.3">
      <c r="A332" t="s">
        <v>364</v>
      </c>
      <c r="B332">
        <v>11.28</v>
      </c>
      <c r="C332">
        <v>2.5</v>
      </c>
      <c r="D332">
        <v>8.7799999999999994</v>
      </c>
      <c r="E332">
        <v>62.5</v>
      </c>
    </row>
    <row r="333" spans="1:5" x14ac:dyDescent="0.3">
      <c r="A333" t="s">
        <v>365</v>
      </c>
      <c r="B333">
        <v>8.89</v>
      </c>
      <c r="C333">
        <v>0.94</v>
      </c>
      <c r="D333">
        <v>7.95</v>
      </c>
      <c r="E333">
        <v>46.3</v>
      </c>
    </row>
    <row r="334" spans="1:5" x14ac:dyDescent="0.3">
      <c r="A334" t="s">
        <v>366</v>
      </c>
      <c r="B334">
        <v>9.14</v>
      </c>
      <c r="C334">
        <v>2.87</v>
      </c>
      <c r="D334">
        <v>6.27</v>
      </c>
      <c r="E334">
        <v>38.4</v>
      </c>
    </row>
    <row r="335" spans="1:5" x14ac:dyDescent="0.3">
      <c r="A335" t="s">
        <v>367</v>
      </c>
      <c r="B335">
        <v>9.43</v>
      </c>
      <c r="C335">
        <v>0.47</v>
      </c>
      <c r="D335">
        <v>8.9600000000000009</v>
      </c>
      <c r="E335">
        <v>54.5</v>
      </c>
    </row>
    <row r="336" spans="1:5" x14ac:dyDescent="0.3">
      <c r="A336" t="s">
        <v>368</v>
      </c>
      <c r="B336">
        <v>4.96</v>
      </c>
      <c r="C336">
        <v>2.68</v>
      </c>
      <c r="D336">
        <v>2.2799999999999998</v>
      </c>
      <c r="E336">
        <v>57.1</v>
      </c>
    </row>
    <row r="337" spans="1:5" x14ac:dyDescent="0.3">
      <c r="A337" t="s">
        <v>369</v>
      </c>
      <c r="B337">
        <v>4.4800000000000004</v>
      </c>
      <c r="C337">
        <v>1.1100000000000001</v>
      </c>
      <c r="D337">
        <v>3.37</v>
      </c>
      <c r="E337">
        <v>67.099999999999994</v>
      </c>
    </row>
    <row r="338" spans="1:5" x14ac:dyDescent="0.3">
      <c r="A338" t="s">
        <v>370</v>
      </c>
      <c r="B338">
        <v>6.34</v>
      </c>
      <c r="C338">
        <v>0.78</v>
      </c>
      <c r="D338">
        <v>5.56</v>
      </c>
      <c r="E338">
        <v>67.5</v>
      </c>
    </row>
    <row r="339" spans="1:5" x14ac:dyDescent="0.3">
      <c r="A339" t="s">
        <v>371</v>
      </c>
      <c r="B339">
        <v>10.42</v>
      </c>
      <c r="C339">
        <v>2.58</v>
      </c>
      <c r="D339">
        <v>7.84</v>
      </c>
      <c r="E339">
        <v>58.2</v>
      </c>
    </row>
    <row r="340" spans="1:5" x14ac:dyDescent="0.3">
      <c r="A340" t="s">
        <v>372</v>
      </c>
      <c r="B340">
        <v>6.85</v>
      </c>
      <c r="C340">
        <v>0.44</v>
      </c>
      <c r="D340">
        <v>6.41</v>
      </c>
      <c r="E340">
        <v>58.6</v>
      </c>
    </row>
    <row r="341" spans="1:5" x14ac:dyDescent="0.3">
      <c r="A341" t="s">
        <v>373</v>
      </c>
      <c r="B341">
        <v>9.39</v>
      </c>
      <c r="C341">
        <v>1.37</v>
      </c>
      <c r="D341">
        <v>8.02</v>
      </c>
      <c r="E341">
        <v>61.3</v>
      </c>
    </row>
    <row r="342" spans="1:5" x14ac:dyDescent="0.3">
      <c r="A342" t="s">
        <v>374</v>
      </c>
      <c r="B342">
        <v>6.67</v>
      </c>
      <c r="C342">
        <v>0.53</v>
      </c>
      <c r="D342">
        <v>6.14</v>
      </c>
      <c r="E342">
        <v>58.6</v>
      </c>
    </row>
    <row r="343" spans="1:5" x14ac:dyDescent="0.3">
      <c r="A343" t="s">
        <v>375</v>
      </c>
      <c r="B343">
        <v>10.19</v>
      </c>
      <c r="C343">
        <v>5.48</v>
      </c>
      <c r="D343">
        <v>4.71</v>
      </c>
      <c r="E343">
        <v>43.7</v>
      </c>
    </row>
    <row r="344" spans="1:5" x14ac:dyDescent="0.3">
      <c r="A344" t="s">
        <v>376</v>
      </c>
      <c r="B344">
        <v>13.59</v>
      </c>
      <c r="C344">
        <v>5.85</v>
      </c>
      <c r="D344">
        <v>7.74</v>
      </c>
      <c r="E344">
        <v>23.2</v>
      </c>
    </row>
    <row r="345" spans="1:5" x14ac:dyDescent="0.3">
      <c r="A345" t="s">
        <v>378</v>
      </c>
      <c r="B345">
        <v>14.02</v>
      </c>
      <c r="C345">
        <v>7.36</v>
      </c>
      <c r="D345">
        <v>6.66</v>
      </c>
      <c r="E345">
        <v>34.1</v>
      </c>
    </row>
    <row r="346" spans="1:5" x14ac:dyDescent="0.3">
      <c r="A346" t="s">
        <v>379</v>
      </c>
      <c r="B346">
        <v>7.06</v>
      </c>
      <c r="C346">
        <v>1.54</v>
      </c>
      <c r="D346">
        <v>5.52</v>
      </c>
      <c r="E346">
        <v>39.799999999999997</v>
      </c>
    </row>
    <row r="347" spans="1:5" x14ac:dyDescent="0.3">
      <c r="A347" t="s">
        <v>380</v>
      </c>
      <c r="B347">
        <v>9.8699999999999992</v>
      </c>
      <c r="C347">
        <v>2.41</v>
      </c>
      <c r="D347">
        <v>7.46</v>
      </c>
      <c r="E347">
        <v>41.1</v>
      </c>
    </row>
    <row r="348" spans="1:5" x14ac:dyDescent="0.3">
      <c r="A348" t="s">
        <v>381</v>
      </c>
      <c r="B348">
        <v>6.97</v>
      </c>
      <c r="C348">
        <v>0.35</v>
      </c>
      <c r="D348">
        <v>6.62</v>
      </c>
      <c r="E348">
        <v>47.3</v>
      </c>
    </row>
    <row r="349" spans="1:5" x14ac:dyDescent="0.3">
      <c r="A349" t="s">
        <v>382</v>
      </c>
      <c r="B349">
        <v>12.02</v>
      </c>
      <c r="C349">
        <v>2.21</v>
      </c>
      <c r="D349">
        <v>9.81</v>
      </c>
      <c r="E349">
        <v>39.700000000000003</v>
      </c>
    </row>
    <row r="350" spans="1:5" x14ac:dyDescent="0.3">
      <c r="A350" t="s">
        <v>383</v>
      </c>
      <c r="B350">
        <v>6.9</v>
      </c>
      <c r="C350">
        <v>0.77</v>
      </c>
      <c r="D350">
        <v>6.13</v>
      </c>
      <c r="E350">
        <v>63</v>
      </c>
    </row>
    <row r="351" spans="1:5" x14ac:dyDescent="0.3">
      <c r="A351" t="s">
        <v>384</v>
      </c>
      <c r="B351">
        <v>5.74</v>
      </c>
      <c r="C351">
        <v>1.57</v>
      </c>
      <c r="D351">
        <v>4.17</v>
      </c>
      <c r="E351">
        <v>84.8</v>
      </c>
    </row>
    <row r="352" spans="1:5" x14ac:dyDescent="0.3">
      <c r="A352" t="s">
        <v>385</v>
      </c>
      <c r="B352">
        <v>10.97</v>
      </c>
      <c r="C352">
        <v>1.43</v>
      </c>
      <c r="D352">
        <v>9.5399999999999991</v>
      </c>
      <c r="E352">
        <v>46</v>
      </c>
    </row>
    <row r="353" spans="1:5" x14ac:dyDescent="0.3">
      <c r="A353" t="s">
        <v>386</v>
      </c>
      <c r="B353">
        <v>10.24</v>
      </c>
      <c r="C353">
        <v>0.51</v>
      </c>
      <c r="D353">
        <v>9.73</v>
      </c>
      <c r="E353">
        <v>36.9</v>
      </c>
    </row>
    <row r="354" spans="1:5" x14ac:dyDescent="0.3">
      <c r="A354" t="s">
        <v>387</v>
      </c>
      <c r="B354">
        <v>6.26</v>
      </c>
      <c r="C354">
        <v>0.94</v>
      </c>
      <c r="D354">
        <v>5.32</v>
      </c>
      <c r="E354">
        <v>67.8</v>
      </c>
    </row>
    <row r="355" spans="1:5" x14ac:dyDescent="0.3">
      <c r="A355" t="s">
        <v>388</v>
      </c>
      <c r="B355">
        <v>11.49</v>
      </c>
      <c r="C355">
        <v>0.75</v>
      </c>
      <c r="D355">
        <v>10.74</v>
      </c>
      <c r="E355">
        <v>30.2</v>
      </c>
    </row>
    <row r="356" spans="1:5" x14ac:dyDescent="0.3">
      <c r="A356" t="s">
        <v>389</v>
      </c>
      <c r="B356">
        <v>10.39</v>
      </c>
      <c r="C356">
        <v>0.52</v>
      </c>
      <c r="D356">
        <v>9.8699999999999992</v>
      </c>
      <c r="E356">
        <v>34.799999999999997</v>
      </c>
    </row>
    <row r="357" spans="1:5" x14ac:dyDescent="0.3">
      <c r="A357" t="s">
        <v>390</v>
      </c>
      <c r="B357">
        <v>8.7200000000000006</v>
      </c>
      <c r="C357">
        <v>2.36</v>
      </c>
      <c r="D357">
        <v>6.36</v>
      </c>
      <c r="E357">
        <v>39.6</v>
      </c>
    </row>
    <row r="358" spans="1:5" x14ac:dyDescent="0.3">
      <c r="A358" t="s">
        <v>391</v>
      </c>
      <c r="B358">
        <v>11.58</v>
      </c>
      <c r="C358">
        <v>5.71</v>
      </c>
      <c r="D358">
        <v>5.87</v>
      </c>
      <c r="E358">
        <v>52.1</v>
      </c>
    </row>
    <row r="359" spans="1:5" x14ac:dyDescent="0.3">
      <c r="A359" t="s">
        <v>392</v>
      </c>
      <c r="B359">
        <v>7.73</v>
      </c>
      <c r="C359">
        <v>1.52</v>
      </c>
      <c r="D359">
        <v>6.21</v>
      </c>
      <c r="E359">
        <v>51.9</v>
      </c>
    </row>
    <row r="360" spans="1:5" x14ac:dyDescent="0.3">
      <c r="A360" t="s">
        <v>393</v>
      </c>
      <c r="B360">
        <v>11.64</v>
      </c>
      <c r="C360">
        <v>6.11</v>
      </c>
      <c r="D360">
        <v>5.53</v>
      </c>
      <c r="E360">
        <v>48.6</v>
      </c>
    </row>
    <row r="361" spans="1:5" x14ac:dyDescent="0.3">
      <c r="A361" t="s">
        <v>394</v>
      </c>
      <c r="B361">
        <v>8.06</v>
      </c>
      <c r="C361">
        <v>2.81</v>
      </c>
      <c r="D361">
        <v>5.25</v>
      </c>
      <c r="E361">
        <v>63.3</v>
      </c>
    </row>
    <row r="362" spans="1:5" x14ac:dyDescent="0.3">
      <c r="A362" t="s">
        <v>395</v>
      </c>
      <c r="B362">
        <v>9.0500000000000007</v>
      </c>
      <c r="C362">
        <v>3.83</v>
      </c>
      <c r="D362">
        <v>5.22</v>
      </c>
      <c r="E362">
        <v>54.9</v>
      </c>
    </row>
    <row r="363" spans="1:5" x14ac:dyDescent="0.3">
      <c r="A363" t="s">
        <v>396</v>
      </c>
      <c r="B363">
        <v>12.03</v>
      </c>
      <c r="C363">
        <v>4.84</v>
      </c>
      <c r="D363">
        <v>7.19</v>
      </c>
      <c r="E363">
        <v>46.8</v>
      </c>
    </row>
    <row r="364" spans="1:5" x14ac:dyDescent="0.3">
      <c r="A364" t="s">
        <v>397</v>
      </c>
      <c r="B364">
        <v>11.21</v>
      </c>
      <c r="C364">
        <v>4.8099999999999996</v>
      </c>
      <c r="D364">
        <v>6.4</v>
      </c>
      <c r="E364">
        <v>34.1</v>
      </c>
    </row>
    <row r="365" spans="1:5" x14ac:dyDescent="0.3">
      <c r="A365" t="s">
        <v>398</v>
      </c>
      <c r="B365">
        <v>10.37</v>
      </c>
      <c r="C365">
        <v>0.81</v>
      </c>
      <c r="D365">
        <v>9.56</v>
      </c>
      <c r="E365">
        <v>45</v>
      </c>
    </row>
    <row r="366" spans="1:5" x14ac:dyDescent="0.3">
      <c r="A366" t="s">
        <v>399</v>
      </c>
      <c r="B366">
        <v>5.98</v>
      </c>
      <c r="C366">
        <v>0.5</v>
      </c>
      <c r="D366">
        <v>5.48</v>
      </c>
      <c r="E366">
        <v>72.5</v>
      </c>
    </row>
    <row r="367" spans="1:5" x14ac:dyDescent="0.3">
      <c r="A367" t="s">
        <v>400</v>
      </c>
      <c r="B367">
        <v>7.77</v>
      </c>
      <c r="C367">
        <v>0.96</v>
      </c>
      <c r="D367">
        <v>6.81</v>
      </c>
      <c r="E367">
        <v>44.3</v>
      </c>
    </row>
    <row r="368" spans="1:5" x14ac:dyDescent="0.3">
      <c r="A368" t="s">
        <v>401</v>
      </c>
      <c r="B368">
        <v>10.19</v>
      </c>
      <c r="C368">
        <v>2.64</v>
      </c>
      <c r="D368">
        <v>7.55</v>
      </c>
      <c r="E368">
        <v>56</v>
      </c>
    </row>
    <row r="369" spans="1:5" x14ac:dyDescent="0.3">
      <c r="A369" t="s">
        <v>402</v>
      </c>
      <c r="B369">
        <v>11.61</v>
      </c>
      <c r="C369">
        <v>5.33</v>
      </c>
      <c r="D369">
        <v>6.28</v>
      </c>
      <c r="E369">
        <v>59.1</v>
      </c>
    </row>
    <row r="370" spans="1:5" x14ac:dyDescent="0.3">
      <c r="A370" t="s">
        <v>403</v>
      </c>
      <c r="B370">
        <v>6.03</v>
      </c>
      <c r="C370">
        <v>0.79</v>
      </c>
      <c r="D370">
        <v>5.24</v>
      </c>
      <c r="E370">
        <v>76.5</v>
      </c>
    </row>
    <row r="371" spans="1:5" x14ac:dyDescent="0.3">
      <c r="A371" t="s">
        <v>404</v>
      </c>
      <c r="B371">
        <v>5</v>
      </c>
      <c r="C371">
        <v>0.67</v>
      </c>
      <c r="D371">
        <v>4.33</v>
      </c>
      <c r="E371">
        <v>63</v>
      </c>
    </row>
    <row r="372" spans="1:5" x14ac:dyDescent="0.3">
      <c r="A372" t="s">
        <v>405</v>
      </c>
      <c r="B372">
        <v>9.6199999999999992</v>
      </c>
      <c r="C372">
        <v>4.12</v>
      </c>
      <c r="D372">
        <v>5.5</v>
      </c>
      <c r="E372">
        <v>56.5</v>
      </c>
    </row>
    <row r="373" spans="1:5" x14ac:dyDescent="0.3">
      <c r="A373" t="s">
        <v>406</v>
      </c>
      <c r="B373">
        <v>14.02</v>
      </c>
      <c r="C373">
        <v>3.21</v>
      </c>
      <c r="D373">
        <v>10.81</v>
      </c>
      <c r="E373">
        <v>47.3</v>
      </c>
    </row>
    <row r="374" spans="1:5" x14ac:dyDescent="0.3">
      <c r="A374" t="s">
        <v>407</v>
      </c>
      <c r="B374">
        <v>14.07</v>
      </c>
      <c r="C374">
        <v>4.54</v>
      </c>
      <c r="D374">
        <v>9.5299999999999994</v>
      </c>
      <c r="E374">
        <v>40.4</v>
      </c>
    </row>
    <row r="375" spans="1:5" x14ac:dyDescent="0.3">
      <c r="A375" t="s">
        <v>408</v>
      </c>
      <c r="B375">
        <v>7.41</v>
      </c>
      <c r="C375">
        <v>1.01</v>
      </c>
      <c r="D375">
        <v>6.4</v>
      </c>
      <c r="E375">
        <v>81</v>
      </c>
    </row>
    <row r="376" spans="1:5" x14ac:dyDescent="0.3">
      <c r="A376" t="s">
        <v>410</v>
      </c>
      <c r="B376">
        <v>10.23</v>
      </c>
      <c r="C376">
        <v>6.7</v>
      </c>
      <c r="D376">
        <v>3.53</v>
      </c>
      <c r="E376">
        <v>33.5</v>
      </c>
    </row>
    <row r="377" spans="1:5" x14ac:dyDescent="0.3">
      <c r="A377" t="s">
        <v>411</v>
      </c>
      <c r="B377">
        <v>10.44</v>
      </c>
      <c r="C377">
        <v>3.97</v>
      </c>
      <c r="D377">
        <v>6.47</v>
      </c>
      <c r="E377">
        <v>50.4</v>
      </c>
    </row>
    <row r="378" spans="1:5" x14ac:dyDescent="0.3">
      <c r="A378" t="s">
        <v>412</v>
      </c>
      <c r="B378">
        <v>5.84</v>
      </c>
      <c r="C378">
        <v>0.4</v>
      </c>
      <c r="D378">
        <v>5.44</v>
      </c>
      <c r="E378">
        <v>43.8</v>
      </c>
    </row>
    <row r="379" spans="1:5" x14ac:dyDescent="0.3">
      <c r="A379" t="s">
        <v>413</v>
      </c>
      <c r="B379">
        <v>8.6199999999999992</v>
      </c>
      <c r="C379">
        <v>1.94</v>
      </c>
      <c r="D379">
        <v>6.68</v>
      </c>
      <c r="E379">
        <v>49.9</v>
      </c>
    </row>
    <row r="380" spans="1:5" x14ac:dyDescent="0.3">
      <c r="A380" t="s">
        <v>414</v>
      </c>
      <c r="B380">
        <v>10.34</v>
      </c>
      <c r="C380">
        <v>3.55</v>
      </c>
      <c r="D380">
        <v>6.79</v>
      </c>
      <c r="E380">
        <v>32.799999999999997</v>
      </c>
    </row>
    <row r="381" spans="1:5" x14ac:dyDescent="0.3">
      <c r="A381" t="s">
        <v>415</v>
      </c>
      <c r="B381">
        <v>10.47</v>
      </c>
      <c r="C381">
        <v>1.05</v>
      </c>
      <c r="D381">
        <v>9.42</v>
      </c>
      <c r="E381">
        <v>50.4</v>
      </c>
    </row>
    <row r="382" spans="1:5" x14ac:dyDescent="0.3">
      <c r="A382" t="s">
        <v>416</v>
      </c>
      <c r="B382">
        <v>11.79</v>
      </c>
      <c r="C382">
        <v>6.19</v>
      </c>
      <c r="D382">
        <v>5.6</v>
      </c>
      <c r="E382">
        <v>36.5</v>
      </c>
    </row>
    <row r="383" spans="1:5" x14ac:dyDescent="0.3">
      <c r="A383" t="s">
        <v>417</v>
      </c>
      <c r="B383">
        <v>7.49</v>
      </c>
      <c r="C383">
        <v>1.21</v>
      </c>
      <c r="D383">
        <v>6.28</v>
      </c>
      <c r="E383">
        <v>51.2</v>
      </c>
    </row>
    <row r="384" spans="1:5" x14ac:dyDescent="0.3">
      <c r="A384" t="s">
        <v>418</v>
      </c>
      <c r="B384">
        <v>10.75</v>
      </c>
      <c r="C384">
        <v>0.84</v>
      </c>
      <c r="D384">
        <v>9.91</v>
      </c>
      <c r="E384">
        <v>34.4</v>
      </c>
    </row>
    <row r="385" spans="1:5" x14ac:dyDescent="0.3">
      <c r="A385" t="s">
        <v>419</v>
      </c>
      <c r="B385">
        <v>10.97</v>
      </c>
      <c r="C385">
        <v>4.21</v>
      </c>
      <c r="D385">
        <v>6.76</v>
      </c>
      <c r="E385">
        <v>38.799999999999997</v>
      </c>
    </row>
    <row r="386" spans="1:5" x14ac:dyDescent="0.3">
      <c r="A386" t="s">
        <v>420</v>
      </c>
      <c r="B386">
        <v>14</v>
      </c>
      <c r="C386">
        <v>6.2</v>
      </c>
      <c r="D386">
        <v>7.8</v>
      </c>
      <c r="E386">
        <v>43.5</v>
      </c>
    </row>
    <row r="387" spans="1:5" x14ac:dyDescent="0.3">
      <c r="A387" t="s">
        <v>421</v>
      </c>
      <c r="B387">
        <v>6.43</v>
      </c>
      <c r="C387">
        <v>2.99</v>
      </c>
      <c r="D387">
        <v>3.44</v>
      </c>
      <c r="E387">
        <v>64.599999999999994</v>
      </c>
    </row>
    <row r="388" spans="1:5" x14ac:dyDescent="0.3">
      <c r="A388" t="s">
        <v>422</v>
      </c>
      <c r="B388">
        <v>9.59</v>
      </c>
      <c r="C388">
        <v>5.44</v>
      </c>
      <c r="D388">
        <v>4.1500000000000004</v>
      </c>
      <c r="E388">
        <v>47.4</v>
      </c>
    </row>
    <row r="389" spans="1:5" x14ac:dyDescent="0.3">
      <c r="A389" t="s">
        <v>423</v>
      </c>
      <c r="B389">
        <v>8.7200000000000006</v>
      </c>
      <c r="C389">
        <v>2.36</v>
      </c>
      <c r="D389">
        <v>6.36</v>
      </c>
      <c r="E389">
        <v>57.3</v>
      </c>
    </row>
    <row r="390" spans="1:5" x14ac:dyDescent="0.3">
      <c r="A390" t="s">
        <v>424</v>
      </c>
      <c r="B390">
        <v>5.04</v>
      </c>
      <c r="C390">
        <v>0.94</v>
      </c>
      <c r="D390">
        <v>4.0999999999999996</v>
      </c>
      <c r="E390">
        <v>63.6</v>
      </c>
    </row>
    <row r="391" spans="1:5" x14ac:dyDescent="0.3">
      <c r="A391" t="s">
        <v>425</v>
      </c>
      <c r="B391">
        <v>8.86</v>
      </c>
      <c r="C391">
        <v>3.82</v>
      </c>
      <c r="D391">
        <v>5.04</v>
      </c>
      <c r="E391">
        <v>41.4</v>
      </c>
    </row>
  </sheetData>
  <conditionalFormatting sqref="H51:K54">
    <cfRule type="colorScale" priority="1">
      <colorScale>
        <cfvo type="num" val="-1"/>
        <cfvo type="num" val="0"/>
        <cfvo type="num" val="1"/>
        <color rgb="FFF8696B"/>
        <color theme="0"/>
        <color theme="3" tint="0.249977111117893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EE09-E327-457E-B31C-ACFCF937C5A1}">
  <dimension ref="A1:N391"/>
  <sheetViews>
    <sheetView topLeftCell="E40" workbookViewId="0"/>
  </sheetViews>
  <sheetFormatPr defaultRowHeight="14" x14ac:dyDescent="0.3"/>
  <cols>
    <col min="1" max="1" width="12.1640625" customWidth="1"/>
    <col min="2" max="2" width="11.4140625" customWidth="1"/>
    <col min="3" max="3" width="11.1640625" customWidth="1"/>
    <col min="4" max="4" width="13.1640625" customWidth="1"/>
    <col min="6" max="6" width="20.1640625" customWidth="1"/>
    <col min="7" max="7" width="30.75" customWidth="1"/>
    <col min="8" max="8" width="13.25" customWidth="1"/>
    <col min="9" max="12" width="12.83203125" customWidth="1"/>
    <col min="13" max="13" width="13.75" customWidth="1"/>
    <col min="14" max="14" width="14" customWidth="1"/>
  </cols>
  <sheetData>
    <row r="1" spans="1:11" x14ac:dyDescent="0.3">
      <c r="A1" t="s">
        <v>6</v>
      </c>
      <c r="B1" t="s">
        <v>7</v>
      </c>
      <c r="C1" t="s">
        <v>11</v>
      </c>
      <c r="D1" t="s">
        <v>5</v>
      </c>
    </row>
    <row r="2" spans="1:11" x14ac:dyDescent="0.3">
      <c r="A2">
        <v>5.44</v>
      </c>
      <c r="B2">
        <v>5.35</v>
      </c>
      <c r="C2">
        <v>44.7</v>
      </c>
      <c r="D2">
        <v>10.79</v>
      </c>
      <c r="F2" t="s">
        <v>506</v>
      </c>
    </row>
    <row r="3" spans="1:11" x14ac:dyDescent="0.3">
      <c r="A3">
        <v>0.37</v>
      </c>
      <c r="B3">
        <v>7.03</v>
      </c>
      <c r="C3">
        <v>78</v>
      </c>
      <c r="D3">
        <v>7.4</v>
      </c>
    </row>
    <row r="4" spans="1:11" x14ac:dyDescent="0.3">
      <c r="A4">
        <v>1.0900000000000001</v>
      </c>
      <c r="B4">
        <v>8.69</v>
      </c>
      <c r="C4">
        <v>51.8</v>
      </c>
      <c r="D4">
        <v>9.7799999999999994</v>
      </c>
      <c r="F4" t="s">
        <v>456</v>
      </c>
      <c r="G4" s="12" t="s">
        <v>507</v>
      </c>
    </row>
    <row r="5" spans="1:11" ht="14.5" thickBot="1" x14ac:dyDescent="0.35">
      <c r="A5">
        <v>0.56000000000000005</v>
      </c>
      <c r="B5">
        <v>10.57</v>
      </c>
      <c r="C5">
        <v>37</v>
      </c>
      <c r="D5">
        <v>11.13</v>
      </c>
    </row>
    <row r="6" spans="1:11" x14ac:dyDescent="0.3">
      <c r="A6">
        <v>4.09</v>
      </c>
      <c r="B6">
        <v>9.1300000000000008</v>
      </c>
      <c r="C6">
        <v>38.5</v>
      </c>
      <c r="D6">
        <v>13.22</v>
      </c>
      <c r="F6" s="3" t="s">
        <v>457</v>
      </c>
      <c r="G6" s="3"/>
    </row>
    <row r="7" spans="1:11" x14ac:dyDescent="0.3">
      <c r="A7">
        <v>0.53</v>
      </c>
      <c r="B7">
        <v>9.3000000000000007</v>
      </c>
      <c r="C7">
        <v>44</v>
      </c>
      <c r="D7">
        <v>9.83</v>
      </c>
      <c r="F7" t="s">
        <v>458</v>
      </c>
      <c r="G7">
        <v>0.68076171358832704</v>
      </c>
      <c r="I7" t="s">
        <v>508</v>
      </c>
    </row>
    <row r="8" spans="1:11" x14ac:dyDescent="0.3">
      <c r="A8">
        <v>2.82</v>
      </c>
      <c r="B8">
        <v>3.2</v>
      </c>
      <c r="C8">
        <v>64.8</v>
      </c>
      <c r="D8">
        <v>6.02</v>
      </c>
      <c r="F8" t="s">
        <v>459</v>
      </c>
      <c r="G8">
        <v>0.46343651068771541</v>
      </c>
      <c r="I8" t="s">
        <v>509</v>
      </c>
    </row>
    <row r="9" spans="1:11" x14ac:dyDescent="0.3">
      <c r="A9">
        <v>0.75</v>
      </c>
      <c r="B9">
        <v>5.46</v>
      </c>
      <c r="C9">
        <v>87</v>
      </c>
      <c r="D9">
        <v>6.21</v>
      </c>
      <c r="F9" t="s">
        <v>461</v>
      </c>
      <c r="G9">
        <v>0.4620536150967044</v>
      </c>
    </row>
    <row r="10" spans="1:11" x14ac:dyDescent="0.3">
      <c r="A10">
        <v>0.67</v>
      </c>
      <c r="B10">
        <v>5.61</v>
      </c>
      <c r="C10">
        <v>91.7</v>
      </c>
      <c r="D10">
        <v>6.28</v>
      </c>
      <c r="F10" t="s">
        <v>435</v>
      </c>
      <c r="G10">
        <v>10.140258455751042</v>
      </c>
    </row>
    <row r="11" spans="1:11" ht="14.5" thickBot="1" x14ac:dyDescent="0.35">
      <c r="A11">
        <v>0.84</v>
      </c>
      <c r="B11">
        <v>8.5299999999999994</v>
      </c>
      <c r="C11">
        <v>42.2</v>
      </c>
      <c r="D11">
        <v>9.3699999999999992</v>
      </c>
      <c r="F11" s="1" t="s">
        <v>462</v>
      </c>
      <c r="G11" s="1">
        <v>390</v>
      </c>
    </row>
    <row r="12" spans="1:11" x14ac:dyDescent="0.3">
      <c r="A12">
        <v>3.02</v>
      </c>
      <c r="B12">
        <v>6.85</v>
      </c>
      <c r="C12">
        <v>55.9</v>
      </c>
      <c r="D12">
        <v>9.8699999999999992</v>
      </c>
    </row>
    <row r="13" spans="1:11" ht="14.5" thickBot="1" x14ac:dyDescent="0.35">
      <c r="A13">
        <v>0.25</v>
      </c>
      <c r="B13">
        <v>4.71</v>
      </c>
      <c r="C13">
        <v>88.4</v>
      </c>
      <c r="D13">
        <v>4.96</v>
      </c>
      <c r="F13" t="s">
        <v>463</v>
      </c>
    </row>
    <row r="14" spans="1:11" x14ac:dyDescent="0.3">
      <c r="A14">
        <v>6.8</v>
      </c>
      <c r="B14">
        <v>5.75</v>
      </c>
      <c r="C14">
        <v>33</v>
      </c>
      <c r="D14">
        <v>12.55</v>
      </c>
      <c r="F14" s="2"/>
      <c r="G14" s="2" t="s">
        <v>464</v>
      </c>
      <c r="H14" s="2" t="s">
        <v>465</v>
      </c>
      <c r="I14" s="2" t="s">
        <v>466</v>
      </c>
      <c r="J14" s="2" t="s">
        <v>467</v>
      </c>
      <c r="K14" s="2" t="s">
        <v>468</v>
      </c>
    </row>
    <row r="15" spans="1:11" x14ac:dyDescent="0.3">
      <c r="A15">
        <v>4.33</v>
      </c>
      <c r="B15">
        <v>3.53</v>
      </c>
      <c r="C15">
        <v>70.7</v>
      </c>
      <c r="D15">
        <v>7.86</v>
      </c>
      <c r="F15" t="s">
        <v>469</v>
      </c>
      <c r="G15">
        <v>1</v>
      </c>
      <c r="H15">
        <v>34458.701068564449</v>
      </c>
      <c r="I15">
        <v>34458.701068564449</v>
      </c>
      <c r="J15">
        <v>335.12039064995093</v>
      </c>
      <c r="K15">
        <v>2.0867294502790928E-54</v>
      </c>
    </row>
    <row r="16" spans="1:11" x14ac:dyDescent="0.3">
      <c r="A16">
        <v>0.79</v>
      </c>
      <c r="B16">
        <v>8.2799999999999994</v>
      </c>
      <c r="C16">
        <v>53.2</v>
      </c>
      <c r="D16">
        <v>9.07</v>
      </c>
      <c r="F16" t="s">
        <v>470</v>
      </c>
      <c r="G16">
        <v>388</v>
      </c>
      <c r="H16">
        <v>39896.038521179027</v>
      </c>
      <c r="I16">
        <v>102.82484154943049</v>
      </c>
    </row>
    <row r="17" spans="1:14" ht="14.5" thickBot="1" x14ac:dyDescent="0.35">
      <c r="A17">
        <v>2.82</v>
      </c>
      <c r="B17">
        <v>10.67</v>
      </c>
      <c r="C17">
        <v>37.6</v>
      </c>
      <c r="D17">
        <v>13.49</v>
      </c>
      <c r="F17" s="1" t="s">
        <v>471</v>
      </c>
      <c r="G17" s="1">
        <v>389</v>
      </c>
      <c r="H17" s="1">
        <v>74354.739589743476</v>
      </c>
      <c r="I17" s="1"/>
      <c r="J17" s="1"/>
      <c r="K17" s="1"/>
    </row>
    <row r="18" spans="1:14" ht="14.5" thickBot="1" x14ac:dyDescent="0.35">
      <c r="A18">
        <v>0.82</v>
      </c>
      <c r="B18">
        <v>8.0399999999999991</v>
      </c>
      <c r="C18">
        <v>60.3</v>
      </c>
      <c r="D18">
        <v>8.86</v>
      </c>
    </row>
    <row r="19" spans="1:14" x14ac:dyDescent="0.3">
      <c r="A19">
        <v>0.82</v>
      </c>
      <c r="B19">
        <v>6.31</v>
      </c>
      <c r="C19">
        <v>49</v>
      </c>
      <c r="D19">
        <v>7.13</v>
      </c>
      <c r="F19" s="2"/>
      <c r="G19" s="2" t="s">
        <v>472</v>
      </c>
      <c r="H19" s="2" t="s">
        <v>435</v>
      </c>
      <c r="I19" s="2" t="s">
        <v>473</v>
      </c>
      <c r="J19" s="2" t="s">
        <v>474</v>
      </c>
      <c r="K19" s="2" t="s">
        <v>475</v>
      </c>
      <c r="L19" s="2" t="s">
        <v>476</v>
      </c>
      <c r="M19" s="2" t="s">
        <v>477</v>
      </c>
      <c r="N19" s="2" t="s">
        <v>478</v>
      </c>
    </row>
    <row r="20" spans="1:14" x14ac:dyDescent="0.3">
      <c r="A20">
        <v>0.7</v>
      </c>
      <c r="B20">
        <v>7.48</v>
      </c>
      <c r="C20">
        <v>85.1</v>
      </c>
      <c r="D20">
        <v>8.18</v>
      </c>
      <c r="F20" t="s">
        <v>479</v>
      </c>
      <c r="G20">
        <v>90.209484121883293</v>
      </c>
      <c r="H20">
        <v>2.0594611267377196</v>
      </c>
      <c r="I20">
        <v>43.80246995231186</v>
      </c>
      <c r="J20">
        <v>2.8952370412629164E-152</v>
      </c>
      <c r="K20">
        <v>86.160384029958038</v>
      </c>
      <c r="L20">
        <v>94.258584213808547</v>
      </c>
      <c r="M20">
        <v>86.160384029958038</v>
      </c>
      <c r="N20">
        <v>94.258584213808547</v>
      </c>
    </row>
    <row r="21" spans="1:14" ht="14.5" thickBot="1" x14ac:dyDescent="0.35">
      <c r="A21">
        <v>5.73</v>
      </c>
      <c r="B21">
        <v>4.53</v>
      </c>
      <c r="C21">
        <v>52</v>
      </c>
      <c r="D21">
        <v>10.26</v>
      </c>
      <c r="F21" s="1" t="s">
        <v>480</v>
      </c>
      <c r="G21" s="1">
        <v>-4.0315576579059185</v>
      </c>
      <c r="H21" s="1">
        <v>0.22022795625559835</v>
      </c>
      <c r="I21" s="1">
        <v>-18.30629374422773</v>
      </c>
      <c r="J21" s="1">
        <v>2.0867294502788543E-54</v>
      </c>
      <c r="K21" s="1">
        <v>-4.4645471551787255</v>
      </c>
      <c r="L21" s="1">
        <v>-3.5985681606331119</v>
      </c>
      <c r="M21" s="1">
        <v>-4.4645471551787255</v>
      </c>
      <c r="N21" s="1">
        <v>-3.5985681606331119</v>
      </c>
    </row>
    <row r="22" spans="1:14" x14ac:dyDescent="0.3">
      <c r="A22">
        <v>3.29</v>
      </c>
      <c r="B22">
        <v>6.85</v>
      </c>
      <c r="C22">
        <v>48.1</v>
      </c>
      <c r="D22">
        <v>10.14</v>
      </c>
    </row>
    <row r="23" spans="1:14" x14ac:dyDescent="0.3">
      <c r="A23">
        <v>2.89</v>
      </c>
      <c r="B23">
        <v>4.63</v>
      </c>
      <c r="C23">
        <v>53.1</v>
      </c>
      <c r="D23">
        <v>7.52</v>
      </c>
      <c r="G23" t="s">
        <v>510</v>
      </c>
    </row>
    <row r="24" spans="1:14" x14ac:dyDescent="0.3">
      <c r="A24">
        <v>1.65</v>
      </c>
      <c r="B24">
        <v>6.02</v>
      </c>
      <c r="C24">
        <v>76.400000000000006</v>
      </c>
      <c r="D24">
        <v>7.67</v>
      </c>
    </row>
    <row r="25" spans="1:14" x14ac:dyDescent="0.3">
      <c r="A25">
        <v>2.33</v>
      </c>
      <c r="B25">
        <v>3.41</v>
      </c>
      <c r="C25">
        <v>77.3</v>
      </c>
      <c r="D25">
        <v>5.74</v>
      </c>
      <c r="G25" t="s">
        <v>511</v>
      </c>
    </row>
    <row r="26" spans="1:14" x14ac:dyDescent="0.3">
      <c r="A26">
        <v>0.45</v>
      </c>
      <c r="B26">
        <v>8.48</v>
      </c>
      <c r="C26">
        <v>50.3</v>
      </c>
      <c r="D26">
        <v>8.93</v>
      </c>
    </row>
    <row r="27" spans="1:14" x14ac:dyDescent="0.3">
      <c r="A27">
        <v>0.8</v>
      </c>
      <c r="B27">
        <v>6.25</v>
      </c>
      <c r="C27">
        <v>51</v>
      </c>
      <c r="D27">
        <v>7.05</v>
      </c>
      <c r="G27" t="s">
        <v>512</v>
      </c>
    </row>
    <row r="28" spans="1:14" x14ac:dyDescent="0.3">
      <c r="A28">
        <v>5.17</v>
      </c>
      <c r="B28">
        <v>6.13</v>
      </c>
      <c r="C28">
        <v>53.3</v>
      </c>
      <c r="D28">
        <v>11.3</v>
      </c>
    </row>
    <row r="29" spans="1:14" x14ac:dyDescent="0.3">
      <c r="A29">
        <v>0.33</v>
      </c>
      <c r="B29">
        <v>6.28</v>
      </c>
      <c r="C29">
        <v>60</v>
      </c>
      <c r="D29">
        <v>6.61</v>
      </c>
      <c r="F29" t="s">
        <v>456</v>
      </c>
      <c r="G29" s="12" t="s">
        <v>513</v>
      </c>
    </row>
    <row r="30" spans="1:14" ht="14.5" thickBot="1" x14ac:dyDescent="0.35">
      <c r="A30">
        <v>0.73</v>
      </c>
      <c r="B30">
        <v>6.7</v>
      </c>
      <c r="C30">
        <v>61.1</v>
      </c>
      <c r="D30">
        <v>7.43</v>
      </c>
    </row>
    <row r="31" spans="1:14" x14ac:dyDescent="0.3">
      <c r="A31">
        <v>0.48</v>
      </c>
      <c r="B31">
        <v>9.09</v>
      </c>
      <c r="C31">
        <v>38</v>
      </c>
      <c r="D31">
        <v>9.57</v>
      </c>
      <c r="F31" s="3" t="s">
        <v>457</v>
      </c>
      <c r="G31" s="3"/>
    </row>
    <row r="32" spans="1:14" x14ac:dyDescent="0.3">
      <c r="A32">
        <v>0.78</v>
      </c>
      <c r="B32">
        <v>5.59</v>
      </c>
      <c r="C32">
        <v>52.1</v>
      </c>
      <c r="D32">
        <v>6.37</v>
      </c>
      <c r="F32" t="s">
        <v>458</v>
      </c>
      <c r="G32">
        <v>0.31313261395880237</v>
      </c>
      <c r="I32" t="s">
        <v>514</v>
      </c>
    </row>
    <row r="33" spans="1:14" x14ac:dyDescent="0.3">
      <c r="A33">
        <v>7.54</v>
      </c>
      <c r="B33">
        <v>6.81</v>
      </c>
      <c r="C33">
        <v>42.6</v>
      </c>
      <c r="D33">
        <v>14.35</v>
      </c>
      <c r="F33" t="s">
        <v>459</v>
      </c>
      <c r="G33">
        <v>9.8052033924672363E-2</v>
      </c>
      <c r="I33" t="s">
        <v>515</v>
      </c>
    </row>
    <row r="34" spans="1:14" x14ac:dyDescent="0.3">
      <c r="A34">
        <v>1.25</v>
      </c>
      <c r="B34">
        <v>5.64</v>
      </c>
      <c r="C34">
        <v>60.3</v>
      </c>
      <c r="D34">
        <v>6.89</v>
      </c>
      <c r="F34" t="s">
        <v>461</v>
      </c>
      <c r="G34">
        <v>9.5727425764684404E-2</v>
      </c>
    </row>
    <row r="35" spans="1:14" x14ac:dyDescent="0.3">
      <c r="A35">
        <v>0.56999999999999995</v>
      </c>
      <c r="B35">
        <v>10.81</v>
      </c>
      <c r="C35">
        <v>57</v>
      </c>
      <c r="D35">
        <v>11.38</v>
      </c>
      <c r="F35" t="s">
        <v>435</v>
      </c>
      <c r="G35">
        <v>13.147077028149539</v>
      </c>
    </row>
    <row r="36" spans="1:14" ht="14.5" thickBot="1" x14ac:dyDescent="0.35">
      <c r="A36">
        <v>0.65</v>
      </c>
      <c r="B36">
        <v>12.4</v>
      </c>
      <c r="C36">
        <v>39.6</v>
      </c>
      <c r="D36">
        <v>13.05</v>
      </c>
      <c r="F36" s="1" t="s">
        <v>462</v>
      </c>
      <c r="G36" s="1">
        <v>390</v>
      </c>
    </row>
    <row r="37" spans="1:14" x14ac:dyDescent="0.3">
      <c r="A37">
        <v>3.01</v>
      </c>
      <c r="B37">
        <v>4.46</v>
      </c>
      <c r="C37">
        <v>53.6</v>
      </c>
      <c r="D37">
        <v>7.47</v>
      </c>
    </row>
    <row r="38" spans="1:14" ht="14.5" thickBot="1" x14ac:dyDescent="0.35">
      <c r="A38">
        <v>1.89</v>
      </c>
      <c r="B38">
        <v>8.0399999999999991</v>
      </c>
      <c r="C38">
        <v>45.7</v>
      </c>
      <c r="D38">
        <v>9.93</v>
      </c>
      <c r="F38" t="s">
        <v>463</v>
      </c>
    </row>
    <row r="39" spans="1:14" x14ac:dyDescent="0.3">
      <c r="A39">
        <v>1.25</v>
      </c>
      <c r="B39">
        <v>6.83</v>
      </c>
      <c r="C39">
        <v>68.099999999999994</v>
      </c>
      <c r="D39">
        <v>8.08</v>
      </c>
      <c r="F39" s="2"/>
      <c r="G39" s="2" t="s">
        <v>464</v>
      </c>
      <c r="H39" s="2" t="s">
        <v>465</v>
      </c>
      <c r="I39" s="2" t="s">
        <v>466</v>
      </c>
      <c r="J39" s="2" t="s">
        <v>467</v>
      </c>
      <c r="K39" s="2" t="s">
        <v>468</v>
      </c>
    </row>
    <row r="40" spans="1:14" x14ac:dyDescent="0.3">
      <c r="A40">
        <v>0.39</v>
      </c>
      <c r="B40">
        <v>7.49</v>
      </c>
      <c r="C40">
        <v>49.8</v>
      </c>
      <c r="D40">
        <v>7.88</v>
      </c>
      <c r="F40" t="s">
        <v>469</v>
      </c>
      <c r="G40">
        <v>1</v>
      </c>
      <c r="H40">
        <v>7290.6334487137065</v>
      </c>
      <c r="I40">
        <v>7290.6334487137065</v>
      </c>
      <c r="J40">
        <v>42.180026557757721</v>
      </c>
      <c r="K40">
        <v>2.5528260305763712E-10</v>
      </c>
    </row>
    <row r="41" spans="1:14" x14ac:dyDescent="0.3">
      <c r="A41">
        <v>3.92</v>
      </c>
      <c r="B41">
        <v>4.8899999999999997</v>
      </c>
      <c r="C41">
        <v>51.6</v>
      </c>
      <c r="D41">
        <v>8.81</v>
      </c>
      <c r="F41" t="s">
        <v>470</v>
      </c>
      <c r="G41">
        <v>388</v>
      </c>
      <c r="H41">
        <v>67064.10614102977</v>
      </c>
      <c r="I41">
        <v>172.84563438409734</v>
      </c>
    </row>
    <row r="42" spans="1:14" ht="14.5" thickBot="1" x14ac:dyDescent="0.35">
      <c r="A42">
        <v>0.36</v>
      </c>
      <c r="B42">
        <v>5.29</v>
      </c>
      <c r="C42">
        <v>67.400000000000006</v>
      </c>
      <c r="D42">
        <v>5.65</v>
      </c>
      <c r="F42" s="1" t="s">
        <v>471</v>
      </c>
      <c r="G42" s="1">
        <v>389</v>
      </c>
      <c r="H42" s="1">
        <v>74354.739589743476</v>
      </c>
      <c r="I42" s="1"/>
      <c r="J42" s="1"/>
      <c r="K42" s="1"/>
    </row>
    <row r="43" spans="1:14" ht="14.5" thickBot="1" x14ac:dyDescent="0.35">
      <c r="A43">
        <v>0.65</v>
      </c>
      <c r="B43">
        <v>8.66</v>
      </c>
      <c r="C43">
        <v>51.7</v>
      </c>
      <c r="D43">
        <v>9.31</v>
      </c>
    </row>
    <row r="44" spans="1:14" x14ac:dyDescent="0.3">
      <c r="A44">
        <v>5.52</v>
      </c>
      <c r="B44">
        <v>2.2000000000000002</v>
      </c>
      <c r="C44">
        <v>77.7</v>
      </c>
      <c r="D44">
        <v>7.72</v>
      </c>
      <c r="F44" s="2"/>
      <c r="G44" s="2" t="s">
        <v>472</v>
      </c>
      <c r="H44" s="2" t="s">
        <v>435</v>
      </c>
      <c r="I44" s="2" t="s">
        <v>473</v>
      </c>
      <c r="J44" s="2" t="s">
        <v>474</v>
      </c>
      <c r="K44" s="2" t="s">
        <v>475</v>
      </c>
      <c r="L44" s="2" t="s">
        <v>476</v>
      </c>
      <c r="M44" s="2" t="s">
        <v>477</v>
      </c>
      <c r="N44" s="2" t="s">
        <v>478</v>
      </c>
    </row>
    <row r="45" spans="1:14" x14ac:dyDescent="0.3">
      <c r="A45">
        <v>4.6399999999999997</v>
      </c>
      <c r="B45">
        <v>7.17</v>
      </c>
      <c r="C45">
        <v>37.6</v>
      </c>
      <c r="D45">
        <v>11.81</v>
      </c>
      <c r="F45" t="s">
        <v>479</v>
      </c>
      <c r="G45">
        <v>58.63189686938707</v>
      </c>
      <c r="H45">
        <v>1.0099977855613926</v>
      </c>
      <c r="I45">
        <v>58.051510317715575</v>
      </c>
      <c r="J45">
        <v>2.1038593308617049E-193</v>
      </c>
      <c r="K45">
        <v>56.646143376268697</v>
      </c>
      <c r="L45">
        <v>60.617650362505444</v>
      </c>
      <c r="M45">
        <v>56.646143376268697</v>
      </c>
      <c r="N45">
        <v>60.617650362505444</v>
      </c>
    </row>
    <row r="46" spans="1:14" ht="14.5" thickBot="1" x14ac:dyDescent="0.35">
      <c r="A46">
        <v>0.74</v>
      </c>
      <c r="B46">
        <v>5.97</v>
      </c>
      <c r="C46">
        <v>58.8</v>
      </c>
      <c r="D46">
        <v>6.71</v>
      </c>
      <c r="F46" s="1" t="s">
        <v>480</v>
      </c>
      <c r="G46" s="1">
        <v>-2.2402270445648682</v>
      </c>
      <c r="H46" s="1">
        <v>0.34493607035907081</v>
      </c>
      <c r="I46" s="1">
        <v>-6.4946151970504022</v>
      </c>
      <c r="J46" s="1">
        <v>2.5528260305759923E-10</v>
      </c>
      <c r="K46" s="1">
        <v>-2.9184047756549685</v>
      </c>
      <c r="L46" s="1">
        <v>-1.5620493134747679</v>
      </c>
      <c r="M46" s="1">
        <v>-2.9184047756549685</v>
      </c>
      <c r="N46" s="1">
        <v>-1.5620493134747679</v>
      </c>
    </row>
    <row r="47" spans="1:14" x14ac:dyDescent="0.3">
      <c r="A47">
        <v>1.57</v>
      </c>
      <c r="B47">
        <v>4.53</v>
      </c>
      <c r="C47">
        <v>79.599999999999994</v>
      </c>
      <c r="D47">
        <v>6.1</v>
      </c>
    </row>
    <row r="48" spans="1:14" x14ac:dyDescent="0.3">
      <c r="A48">
        <v>1.45</v>
      </c>
      <c r="B48">
        <v>6.01</v>
      </c>
      <c r="C48">
        <v>49.2</v>
      </c>
      <c r="D48">
        <v>7.46</v>
      </c>
      <c r="G48" t="s">
        <v>516</v>
      </c>
    </row>
    <row r="49" spans="1:9" x14ac:dyDescent="0.3">
      <c r="A49">
        <v>7.52</v>
      </c>
      <c r="B49">
        <v>6.7</v>
      </c>
      <c r="C49">
        <v>34.799999999999997</v>
      </c>
      <c r="D49">
        <v>14.22</v>
      </c>
    </row>
    <row r="50" spans="1:9" x14ac:dyDescent="0.3">
      <c r="A50">
        <v>3.77</v>
      </c>
      <c r="B50">
        <v>6.16</v>
      </c>
      <c r="C50">
        <v>52.8</v>
      </c>
      <c r="D50">
        <v>9.93</v>
      </c>
      <c r="G50" t="s">
        <v>517</v>
      </c>
    </row>
    <row r="51" spans="1:9" x14ac:dyDescent="0.3">
      <c r="A51">
        <v>0.99</v>
      </c>
      <c r="B51">
        <v>12.3</v>
      </c>
      <c r="C51">
        <v>27.1</v>
      </c>
      <c r="D51">
        <v>13.29</v>
      </c>
    </row>
    <row r="52" spans="1:9" x14ac:dyDescent="0.3">
      <c r="A52">
        <v>0.36</v>
      </c>
      <c r="B52">
        <v>6.41</v>
      </c>
      <c r="C52">
        <v>56.8</v>
      </c>
      <c r="D52">
        <v>6.77</v>
      </c>
      <c r="F52" t="s">
        <v>518</v>
      </c>
    </row>
    <row r="53" spans="1:9" x14ac:dyDescent="0.3">
      <c r="A53">
        <v>5.59</v>
      </c>
      <c r="B53">
        <v>4.66</v>
      </c>
      <c r="C53">
        <v>38.5</v>
      </c>
      <c r="D53">
        <v>10.25</v>
      </c>
    </row>
    <row r="54" spans="1:9" x14ac:dyDescent="0.3">
      <c r="A54">
        <v>1.6</v>
      </c>
      <c r="B54">
        <v>7.15</v>
      </c>
      <c r="C54">
        <v>44.9</v>
      </c>
      <c r="D54">
        <v>8.75</v>
      </c>
    </row>
    <row r="55" spans="1:9" x14ac:dyDescent="0.3">
      <c r="A55">
        <v>0.51</v>
      </c>
      <c r="B55">
        <v>9.6199999999999992</v>
      </c>
      <c r="C55">
        <v>44.8</v>
      </c>
      <c r="D55">
        <v>10.130000000000001</v>
      </c>
      <c r="F55" t="s">
        <v>456</v>
      </c>
      <c r="G55" s="12" t="s">
        <v>519</v>
      </c>
    </row>
    <row r="56" spans="1:9" ht="14.5" thickBot="1" x14ac:dyDescent="0.35">
      <c r="A56">
        <v>2.4</v>
      </c>
      <c r="B56">
        <v>7.07</v>
      </c>
      <c r="C56">
        <v>60</v>
      </c>
      <c r="D56">
        <v>9.4700000000000006</v>
      </c>
    </row>
    <row r="57" spans="1:9" x14ac:dyDescent="0.3">
      <c r="A57">
        <v>0.42</v>
      </c>
      <c r="B57">
        <v>7.15</v>
      </c>
      <c r="C57">
        <v>51.7</v>
      </c>
      <c r="D57">
        <v>7.57</v>
      </c>
      <c r="F57" s="3" t="s">
        <v>457</v>
      </c>
      <c r="G57" s="3"/>
    </row>
    <row r="58" spans="1:9" x14ac:dyDescent="0.3">
      <c r="A58">
        <v>0.55000000000000004</v>
      </c>
      <c r="B58">
        <v>6.21</v>
      </c>
      <c r="C58">
        <v>74</v>
      </c>
      <c r="D58">
        <v>6.76</v>
      </c>
      <c r="F58" t="s">
        <v>458</v>
      </c>
      <c r="G58">
        <v>0.46177219099838535</v>
      </c>
      <c r="I58" t="s">
        <v>520</v>
      </c>
    </row>
    <row r="59" spans="1:9" x14ac:dyDescent="0.3">
      <c r="A59">
        <v>2.5</v>
      </c>
      <c r="B59">
        <v>5.32</v>
      </c>
      <c r="C59">
        <v>81</v>
      </c>
      <c r="D59">
        <v>7.82</v>
      </c>
      <c r="F59" t="s">
        <v>459</v>
      </c>
      <c r="G59">
        <v>0.2132335563794493</v>
      </c>
    </row>
    <row r="60" spans="1:9" x14ac:dyDescent="0.3">
      <c r="A60">
        <v>1.1000000000000001</v>
      </c>
      <c r="B60">
        <v>10.39</v>
      </c>
      <c r="C60">
        <v>67.8</v>
      </c>
      <c r="D60">
        <v>11.49</v>
      </c>
      <c r="F60" t="s">
        <v>461</v>
      </c>
      <c r="G60">
        <v>0.21120580781341697</v>
      </c>
      <c r="I60" t="s">
        <v>521</v>
      </c>
    </row>
    <row r="61" spans="1:9" x14ac:dyDescent="0.3">
      <c r="A61">
        <v>1.91</v>
      </c>
      <c r="B61">
        <v>6.98</v>
      </c>
      <c r="C61">
        <v>40.299999999999997</v>
      </c>
      <c r="D61">
        <v>8.89</v>
      </c>
      <c r="F61" t="s">
        <v>435</v>
      </c>
      <c r="G61">
        <v>12.278954213645841</v>
      </c>
    </row>
    <row r="62" spans="1:9" ht="14.5" thickBot="1" x14ac:dyDescent="0.35">
      <c r="A62">
        <v>0.68</v>
      </c>
      <c r="B62">
        <v>9.41</v>
      </c>
      <c r="C62">
        <v>46.3</v>
      </c>
      <c r="D62">
        <v>10.09</v>
      </c>
      <c r="F62" s="1" t="s">
        <v>462</v>
      </c>
      <c r="G62" s="1">
        <v>390</v>
      </c>
    </row>
    <row r="63" spans="1:9" x14ac:dyDescent="0.3">
      <c r="A63">
        <v>2.67</v>
      </c>
      <c r="B63">
        <v>6.35</v>
      </c>
      <c r="C63">
        <v>45.8</v>
      </c>
      <c r="D63">
        <v>9.02</v>
      </c>
    </row>
    <row r="64" spans="1:9" ht="14.5" thickBot="1" x14ac:dyDescent="0.35">
      <c r="A64">
        <v>1.46</v>
      </c>
      <c r="B64">
        <v>9.6999999999999993</v>
      </c>
      <c r="C64">
        <v>42.2</v>
      </c>
      <c r="D64">
        <v>11.16</v>
      </c>
      <c r="F64" t="s">
        <v>463</v>
      </c>
    </row>
    <row r="65" spans="1:14" x14ac:dyDescent="0.3">
      <c r="A65">
        <v>1.65</v>
      </c>
      <c r="B65">
        <v>5.65</v>
      </c>
      <c r="C65">
        <v>51.1</v>
      </c>
      <c r="D65">
        <v>7.3</v>
      </c>
      <c r="F65" s="2"/>
      <c r="G65" s="2" t="s">
        <v>464</v>
      </c>
      <c r="H65" s="2" t="s">
        <v>465</v>
      </c>
      <c r="I65" s="2" t="s">
        <v>466</v>
      </c>
      <c r="J65" s="2" t="s">
        <v>467</v>
      </c>
      <c r="K65" s="2" t="s">
        <v>468</v>
      </c>
    </row>
    <row r="66" spans="1:14" x14ac:dyDescent="0.3">
      <c r="A66">
        <v>3.9</v>
      </c>
      <c r="B66">
        <v>3.05</v>
      </c>
      <c r="C66">
        <v>48.3</v>
      </c>
      <c r="D66">
        <v>6.95</v>
      </c>
      <c r="F66" t="s">
        <v>469</v>
      </c>
      <c r="G66">
        <v>1</v>
      </c>
      <c r="H66">
        <v>15854.925556388836</v>
      </c>
      <c r="I66">
        <v>15854.925556388836</v>
      </c>
      <c r="J66">
        <v>105.15778926017386</v>
      </c>
      <c r="K66">
        <v>5.4061859753721662E-22</v>
      </c>
    </row>
    <row r="67" spans="1:14" x14ac:dyDescent="0.3">
      <c r="A67">
        <v>2.5</v>
      </c>
      <c r="B67">
        <v>3</v>
      </c>
      <c r="C67">
        <v>86.3</v>
      </c>
      <c r="D67">
        <v>5.5</v>
      </c>
      <c r="F67" t="s">
        <v>470</v>
      </c>
      <c r="G67">
        <v>388</v>
      </c>
      <c r="H67">
        <v>58499.81403335464</v>
      </c>
      <c r="I67">
        <v>150.77271658081094</v>
      </c>
    </row>
    <row r="68" spans="1:14" ht="14.5" thickBot="1" x14ac:dyDescent="0.35">
      <c r="A68">
        <v>1.59</v>
      </c>
      <c r="B68">
        <v>9.43</v>
      </c>
      <c r="C68">
        <v>38</v>
      </c>
      <c r="D68">
        <v>11.02</v>
      </c>
      <c r="F68" s="1" t="s">
        <v>471</v>
      </c>
      <c r="G68" s="1">
        <v>389</v>
      </c>
      <c r="H68" s="1">
        <v>74354.739589743476</v>
      </c>
      <c r="I68" s="1"/>
      <c r="J68" s="1"/>
      <c r="K68" s="1"/>
    </row>
    <row r="69" spans="1:14" ht="14.5" thickBot="1" x14ac:dyDescent="0.35">
      <c r="A69">
        <v>0.94</v>
      </c>
      <c r="B69">
        <v>7.53</v>
      </c>
      <c r="C69">
        <v>50.3</v>
      </c>
      <c r="D69">
        <v>8.4700000000000006</v>
      </c>
    </row>
    <row r="70" spans="1:14" x14ac:dyDescent="0.3">
      <c r="A70">
        <v>1.07</v>
      </c>
      <c r="B70">
        <v>5.85</v>
      </c>
      <c r="C70">
        <v>76.5</v>
      </c>
      <c r="D70">
        <v>6.92</v>
      </c>
      <c r="F70" s="2"/>
      <c r="G70" s="2" t="s">
        <v>472</v>
      </c>
      <c r="H70" s="2" t="s">
        <v>435</v>
      </c>
      <c r="I70" s="2" t="s">
        <v>473</v>
      </c>
      <c r="J70" s="2" t="s">
        <v>474</v>
      </c>
      <c r="K70" s="2" t="s">
        <v>475</v>
      </c>
      <c r="L70" s="2" t="s">
        <v>476</v>
      </c>
      <c r="M70" s="2" t="s">
        <v>477</v>
      </c>
      <c r="N70" s="2" t="s">
        <v>478</v>
      </c>
    </row>
    <row r="71" spans="1:14" x14ac:dyDescent="0.3">
      <c r="A71">
        <v>0.45</v>
      </c>
      <c r="B71">
        <v>7.78</v>
      </c>
      <c r="C71">
        <v>65.099999999999994</v>
      </c>
      <c r="D71">
        <v>8.23</v>
      </c>
      <c r="F71" t="s">
        <v>479</v>
      </c>
      <c r="G71">
        <v>74.231091995161322</v>
      </c>
      <c r="H71">
        <v>2.0965457907503873</v>
      </c>
      <c r="I71">
        <v>35.406377634419719</v>
      </c>
      <c r="J71">
        <v>1.3688316909239171E-123</v>
      </c>
      <c r="K71">
        <v>70.109079861093974</v>
      </c>
      <c r="L71">
        <v>78.353104129228669</v>
      </c>
      <c r="M71">
        <v>70.109079861093974</v>
      </c>
      <c r="N71">
        <v>78.353104129228669</v>
      </c>
    </row>
    <row r="72" spans="1:14" ht="14.5" thickBot="1" x14ac:dyDescent="0.35">
      <c r="A72">
        <v>0.39</v>
      </c>
      <c r="B72">
        <v>7.49</v>
      </c>
      <c r="C72">
        <v>59</v>
      </c>
      <c r="D72">
        <v>7.88</v>
      </c>
      <c r="F72" s="1" t="s">
        <v>480</v>
      </c>
      <c r="G72" s="1">
        <v>-2.9955505054403919</v>
      </c>
      <c r="H72" s="1">
        <v>0.29211638841490378</v>
      </c>
      <c r="I72" s="1">
        <v>-10.25464720310625</v>
      </c>
      <c r="J72" s="1">
        <v>5.4061859753702647E-22</v>
      </c>
      <c r="K72" s="1">
        <v>-3.5698796247558322</v>
      </c>
      <c r="L72" s="1">
        <v>-2.4212213861249516</v>
      </c>
      <c r="M72" s="1">
        <v>-3.5698796247558322</v>
      </c>
      <c r="N72" s="1">
        <v>-2.4212213861249516</v>
      </c>
    </row>
    <row r="73" spans="1:14" x14ac:dyDescent="0.3">
      <c r="A73">
        <v>6.68</v>
      </c>
      <c r="B73">
        <v>6.76</v>
      </c>
      <c r="C73">
        <v>43</v>
      </c>
      <c r="D73">
        <v>13.44</v>
      </c>
    </row>
    <row r="74" spans="1:14" x14ac:dyDescent="0.3">
      <c r="A74">
        <v>0.44</v>
      </c>
      <c r="B74">
        <v>4.97</v>
      </c>
      <c r="C74">
        <v>68.5</v>
      </c>
      <c r="D74">
        <v>5.41</v>
      </c>
      <c r="G74" t="s">
        <v>522</v>
      </c>
    </row>
    <row r="75" spans="1:14" x14ac:dyDescent="0.3">
      <c r="A75">
        <v>1.6</v>
      </c>
      <c r="B75">
        <v>7</v>
      </c>
      <c r="C75">
        <v>56</v>
      </c>
      <c r="D75">
        <v>8.6</v>
      </c>
    </row>
    <row r="76" spans="1:14" x14ac:dyDescent="0.3">
      <c r="A76">
        <v>4.07</v>
      </c>
      <c r="B76">
        <v>5.0599999999999996</v>
      </c>
      <c r="C76">
        <v>74.5</v>
      </c>
      <c r="D76">
        <v>9.1300000000000008</v>
      </c>
      <c r="G76" t="s">
        <v>523</v>
      </c>
    </row>
    <row r="77" spans="1:14" x14ac:dyDescent="0.3">
      <c r="A77">
        <v>4.57</v>
      </c>
      <c r="B77">
        <v>4.6900000000000004</v>
      </c>
      <c r="C77">
        <v>51.1</v>
      </c>
      <c r="D77">
        <v>9.26</v>
      </c>
    </row>
    <row r="78" spans="1:14" x14ac:dyDescent="0.3">
      <c r="A78">
        <v>1.82</v>
      </c>
      <c r="B78">
        <v>4.79</v>
      </c>
      <c r="C78">
        <v>60.5</v>
      </c>
      <c r="D78">
        <v>6.61</v>
      </c>
      <c r="F78" t="s">
        <v>524</v>
      </c>
    </row>
    <row r="79" spans="1:14" x14ac:dyDescent="0.3">
      <c r="A79">
        <v>1.02</v>
      </c>
      <c r="B79">
        <v>2.91</v>
      </c>
      <c r="C79">
        <v>88</v>
      </c>
      <c r="D79">
        <v>3.93</v>
      </c>
    </row>
    <row r="80" spans="1:14" x14ac:dyDescent="0.3">
      <c r="A80">
        <v>0.88</v>
      </c>
      <c r="B80">
        <v>10.87</v>
      </c>
      <c r="C80">
        <v>41.5</v>
      </c>
      <c r="D80">
        <v>11.75</v>
      </c>
    </row>
    <row r="81" spans="1:4" x14ac:dyDescent="0.3">
      <c r="A81">
        <v>0.38</v>
      </c>
      <c r="B81">
        <v>7.2</v>
      </c>
      <c r="C81">
        <v>67.7</v>
      </c>
      <c r="D81">
        <v>7.58</v>
      </c>
    </row>
    <row r="82" spans="1:4" x14ac:dyDescent="0.3">
      <c r="A82">
        <v>1.99</v>
      </c>
      <c r="B82">
        <v>7.15</v>
      </c>
      <c r="C82">
        <v>45.5</v>
      </c>
      <c r="D82">
        <v>9.14</v>
      </c>
    </row>
    <row r="83" spans="1:4" x14ac:dyDescent="0.3">
      <c r="A83">
        <v>0.45</v>
      </c>
      <c r="B83">
        <v>4.99</v>
      </c>
      <c r="C83">
        <v>88.3</v>
      </c>
      <c r="D83">
        <v>5.44</v>
      </c>
    </row>
    <row r="84" spans="1:4" x14ac:dyDescent="0.3">
      <c r="A84">
        <v>6.39</v>
      </c>
      <c r="B84">
        <v>3.47</v>
      </c>
      <c r="C84">
        <v>66.3</v>
      </c>
      <c r="D84">
        <v>9.86</v>
      </c>
    </row>
    <row r="85" spans="1:4" x14ac:dyDescent="0.3">
      <c r="A85">
        <v>1.1000000000000001</v>
      </c>
      <c r="B85">
        <v>6.95</v>
      </c>
      <c r="C85">
        <v>55.9</v>
      </c>
      <c r="D85">
        <v>8.0500000000000007</v>
      </c>
    </row>
    <row r="86" spans="1:4" x14ac:dyDescent="0.3">
      <c r="A86">
        <v>3.5</v>
      </c>
      <c r="B86">
        <v>3.54</v>
      </c>
      <c r="C86">
        <v>82.3</v>
      </c>
      <c r="D86">
        <v>7.04</v>
      </c>
    </row>
    <row r="87" spans="1:4" x14ac:dyDescent="0.3">
      <c r="A87">
        <v>1.72</v>
      </c>
      <c r="B87">
        <v>4.5999999999999996</v>
      </c>
      <c r="C87">
        <v>64.400000000000006</v>
      </c>
      <c r="D87">
        <v>6.32</v>
      </c>
    </row>
    <row r="88" spans="1:4" x14ac:dyDescent="0.3">
      <c r="A88">
        <v>2.73</v>
      </c>
      <c r="B88">
        <v>7.57</v>
      </c>
      <c r="C88">
        <v>50.4</v>
      </c>
      <c r="D88">
        <v>10.3</v>
      </c>
    </row>
    <row r="89" spans="1:4" x14ac:dyDescent="0.3">
      <c r="A89">
        <v>2.5299999999999998</v>
      </c>
      <c r="B89">
        <v>6.71</v>
      </c>
      <c r="C89">
        <v>46.5</v>
      </c>
      <c r="D89">
        <v>9.24</v>
      </c>
    </row>
    <row r="90" spans="1:4" x14ac:dyDescent="0.3">
      <c r="A90">
        <v>1</v>
      </c>
      <c r="B90">
        <v>7.29</v>
      </c>
      <c r="C90">
        <v>58.3</v>
      </c>
      <c r="D90">
        <v>8.2899999999999991</v>
      </c>
    </row>
    <row r="91" spans="1:4" x14ac:dyDescent="0.3">
      <c r="A91">
        <v>0.92</v>
      </c>
      <c r="B91">
        <v>4.5999999999999996</v>
      </c>
      <c r="C91">
        <v>68.7</v>
      </c>
      <c r="D91">
        <v>5.52</v>
      </c>
    </row>
    <row r="92" spans="1:4" x14ac:dyDescent="0.3">
      <c r="A92">
        <v>2.42</v>
      </c>
      <c r="B92">
        <v>6.71</v>
      </c>
      <c r="C92">
        <v>43.9</v>
      </c>
      <c r="D92">
        <v>9.1300000000000008</v>
      </c>
    </row>
    <row r="93" spans="1:4" x14ac:dyDescent="0.3">
      <c r="A93">
        <v>2.46</v>
      </c>
      <c r="B93">
        <v>7.35</v>
      </c>
      <c r="C93">
        <v>40.6</v>
      </c>
      <c r="D93">
        <v>9.81</v>
      </c>
    </row>
    <row r="94" spans="1:4" x14ac:dyDescent="0.3">
      <c r="A94">
        <v>0.96</v>
      </c>
      <c r="B94">
        <v>6.79</v>
      </c>
      <c r="C94">
        <v>57.1</v>
      </c>
      <c r="D94">
        <v>7.75</v>
      </c>
    </row>
    <row r="95" spans="1:4" x14ac:dyDescent="0.3">
      <c r="A95">
        <v>0.62</v>
      </c>
      <c r="B95">
        <v>6.43</v>
      </c>
      <c r="C95">
        <v>49.9</v>
      </c>
      <c r="D95">
        <v>7.05</v>
      </c>
    </row>
    <row r="96" spans="1:4" x14ac:dyDescent="0.3">
      <c r="A96">
        <v>1.01</v>
      </c>
      <c r="B96">
        <v>9.16</v>
      </c>
      <c r="C96">
        <v>51.5</v>
      </c>
      <c r="D96">
        <v>10.17</v>
      </c>
    </row>
    <row r="97" spans="1:4" x14ac:dyDescent="0.3">
      <c r="A97">
        <v>2.93</v>
      </c>
      <c r="B97">
        <v>5.01</v>
      </c>
      <c r="C97">
        <v>53.5</v>
      </c>
      <c r="D97">
        <v>7.94</v>
      </c>
    </row>
    <row r="98" spans="1:4" x14ac:dyDescent="0.3">
      <c r="A98">
        <v>3.64</v>
      </c>
      <c r="B98">
        <v>5.94</v>
      </c>
      <c r="C98">
        <v>48.4</v>
      </c>
      <c r="D98">
        <v>9.58</v>
      </c>
    </row>
    <row r="99" spans="1:4" x14ac:dyDescent="0.3">
      <c r="A99">
        <v>0.67</v>
      </c>
      <c r="B99">
        <v>3.02</v>
      </c>
      <c r="C99">
        <v>61.4</v>
      </c>
      <c r="D99">
        <v>3.69</v>
      </c>
    </row>
    <row r="100" spans="1:4" x14ac:dyDescent="0.3">
      <c r="A100">
        <v>0.38</v>
      </c>
      <c r="B100">
        <v>7.2</v>
      </c>
      <c r="C100">
        <v>53.9</v>
      </c>
      <c r="D100">
        <v>7.58</v>
      </c>
    </row>
    <row r="101" spans="1:4" x14ac:dyDescent="0.3">
      <c r="A101">
        <v>5.22</v>
      </c>
      <c r="B101">
        <v>4.5999999999999996</v>
      </c>
      <c r="C101">
        <v>58.5</v>
      </c>
      <c r="D101">
        <v>9.82</v>
      </c>
    </row>
    <row r="102" spans="1:4" x14ac:dyDescent="0.3">
      <c r="A102">
        <v>0.43</v>
      </c>
      <c r="B102">
        <v>8.1</v>
      </c>
      <c r="C102">
        <v>45.4</v>
      </c>
      <c r="D102">
        <v>8.5299999999999994</v>
      </c>
    </row>
    <row r="103" spans="1:4" x14ac:dyDescent="0.3">
      <c r="A103">
        <v>0.61</v>
      </c>
      <c r="B103">
        <v>6.71</v>
      </c>
      <c r="C103">
        <v>74.8</v>
      </c>
      <c r="D103">
        <v>7.32</v>
      </c>
    </row>
    <row r="104" spans="1:4" x14ac:dyDescent="0.3">
      <c r="A104">
        <v>0.48</v>
      </c>
      <c r="B104">
        <v>3.82</v>
      </c>
      <c r="C104">
        <v>66.8</v>
      </c>
      <c r="D104">
        <v>4.3</v>
      </c>
    </row>
    <row r="105" spans="1:4" x14ac:dyDescent="0.3">
      <c r="A105">
        <v>6.79</v>
      </c>
      <c r="B105">
        <v>5.72</v>
      </c>
      <c r="C105">
        <v>33.200000000000003</v>
      </c>
      <c r="D105">
        <v>12.51</v>
      </c>
    </row>
    <row r="106" spans="1:4" x14ac:dyDescent="0.3">
      <c r="A106">
        <v>0.62</v>
      </c>
      <c r="B106">
        <v>4.2699999999999996</v>
      </c>
      <c r="C106">
        <v>68.3</v>
      </c>
      <c r="D106">
        <v>4.8899999999999997</v>
      </c>
    </row>
    <row r="107" spans="1:4" x14ac:dyDescent="0.3">
      <c r="A107">
        <v>4.95</v>
      </c>
      <c r="B107">
        <v>6.15</v>
      </c>
      <c r="C107">
        <v>36.1</v>
      </c>
      <c r="D107">
        <v>11.1</v>
      </c>
    </row>
    <row r="108" spans="1:4" x14ac:dyDescent="0.3">
      <c r="A108">
        <v>0.57999999999999996</v>
      </c>
      <c r="B108">
        <v>10.26</v>
      </c>
      <c r="C108">
        <v>36.4</v>
      </c>
      <c r="D108">
        <v>10.84</v>
      </c>
    </row>
    <row r="109" spans="1:4" x14ac:dyDescent="0.3">
      <c r="A109">
        <v>5.84</v>
      </c>
      <c r="B109">
        <v>8.06</v>
      </c>
      <c r="C109">
        <v>26</v>
      </c>
      <c r="D109">
        <v>13.9</v>
      </c>
    </row>
    <row r="110" spans="1:4" x14ac:dyDescent="0.3">
      <c r="A110">
        <v>2.66</v>
      </c>
      <c r="B110">
        <v>9.39</v>
      </c>
      <c r="C110">
        <v>44.8</v>
      </c>
      <c r="D110">
        <v>12.05</v>
      </c>
    </row>
    <row r="111" spans="1:4" x14ac:dyDescent="0.3">
      <c r="A111">
        <v>0.35</v>
      </c>
      <c r="B111">
        <v>5.99</v>
      </c>
      <c r="C111">
        <v>86.8</v>
      </c>
      <c r="D111">
        <v>6.34</v>
      </c>
    </row>
    <row r="112" spans="1:4" x14ac:dyDescent="0.3">
      <c r="A112">
        <v>0.85</v>
      </c>
      <c r="B112">
        <v>10.19</v>
      </c>
      <c r="C112">
        <v>42.3</v>
      </c>
      <c r="D112">
        <v>11.04</v>
      </c>
    </row>
    <row r="113" spans="1:4" x14ac:dyDescent="0.3">
      <c r="A113">
        <v>5.16</v>
      </c>
      <c r="B113">
        <v>6.03</v>
      </c>
      <c r="C113">
        <v>35.9</v>
      </c>
      <c r="D113">
        <v>11.19</v>
      </c>
    </row>
    <row r="114" spans="1:4" x14ac:dyDescent="0.3">
      <c r="A114">
        <v>0.5</v>
      </c>
      <c r="B114">
        <v>9.5500000000000007</v>
      </c>
      <c r="C114">
        <v>56.7</v>
      </c>
      <c r="D114">
        <v>10.050000000000001</v>
      </c>
    </row>
    <row r="115" spans="1:4" x14ac:dyDescent="0.3">
      <c r="A115">
        <v>0.6</v>
      </c>
      <c r="B115">
        <v>11.34</v>
      </c>
      <c r="C115">
        <v>37.299999999999997</v>
      </c>
      <c r="D115">
        <v>11.94</v>
      </c>
    </row>
    <row r="116" spans="1:4" x14ac:dyDescent="0.3">
      <c r="A116">
        <v>4.17</v>
      </c>
      <c r="B116">
        <v>3.63</v>
      </c>
      <c r="C116">
        <v>52.6</v>
      </c>
      <c r="D116">
        <v>7.8</v>
      </c>
    </row>
    <row r="117" spans="1:4" x14ac:dyDescent="0.3">
      <c r="A117">
        <v>2.25</v>
      </c>
      <c r="B117">
        <v>8.98</v>
      </c>
      <c r="C117">
        <v>55.1</v>
      </c>
      <c r="D117">
        <v>11.23</v>
      </c>
    </row>
    <row r="118" spans="1:4" x14ac:dyDescent="0.3">
      <c r="A118">
        <v>1.4</v>
      </c>
      <c r="B118">
        <v>7.3</v>
      </c>
      <c r="C118">
        <v>56.2</v>
      </c>
      <c r="D118">
        <v>8.6999999999999993</v>
      </c>
    </row>
    <row r="119" spans="1:4" x14ac:dyDescent="0.3">
      <c r="A119">
        <v>4.82</v>
      </c>
      <c r="B119">
        <v>5.3</v>
      </c>
      <c r="C119">
        <v>47.2</v>
      </c>
      <c r="D119">
        <v>10.119999999999999</v>
      </c>
    </row>
    <row r="120" spans="1:4" x14ac:dyDescent="0.3">
      <c r="A120">
        <v>2.11</v>
      </c>
      <c r="B120">
        <v>7.93</v>
      </c>
      <c r="C120">
        <v>52.1</v>
      </c>
      <c r="D120">
        <v>10.039999999999999</v>
      </c>
    </row>
    <row r="121" spans="1:4" x14ac:dyDescent="0.3">
      <c r="A121">
        <v>0.32</v>
      </c>
      <c r="B121">
        <v>6.1</v>
      </c>
      <c r="C121">
        <v>73</v>
      </c>
      <c r="D121">
        <v>6.42</v>
      </c>
    </row>
    <row r="122" spans="1:4" x14ac:dyDescent="0.3">
      <c r="A122">
        <v>2.08</v>
      </c>
      <c r="B122">
        <v>7.5</v>
      </c>
      <c r="C122">
        <v>80.400000000000006</v>
      </c>
      <c r="D122">
        <v>9.58</v>
      </c>
    </row>
    <row r="123" spans="1:4" x14ac:dyDescent="0.3">
      <c r="A123">
        <v>1.17</v>
      </c>
      <c r="B123">
        <v>6.6</v>
      </c>
      <c r="C123">
        <v>40.9</v>
      </c>
      <c r="D123">
        <v>7.77</v>
      </c>
    </row>
    <row r="124" spans="1:4" x14ac:dyDescent="0.3">
      <c r="A124">
        <v>1.44</v>
      </c>
      <c r="B124">
        <v>6.41</v>
      </c>
      <c r="C124">
        <v>70.8</v>
      </c>
      <c r="D124">
        <v>7.85</v>
      </c>
    </row>
    <row r="125" spans="1:4" x14ac:dyDescent="0.3">
      <c r="A125">
        <v>0.3</v>
      </c>
      <c r="B125">
        <v>5.7</v>
      </c>
      <c r="C125">
        <v>49.3</v>
      </c>
      <c r="D125">
        <v>6</v>
      </c>
    </row>
    <row r="126" spans="1:4" x14ac:dyDescent="0.3">
      <c r="A126">
        <v>0.73</v>
      </c>
      <c r="B126">
        <v>8.5</v>
      </c>
      <c r="C126">
        <v>67.400000000000006</v>
      </c>
      <c r="D126">
        <v>9.23</v>
      </c>
    </row>
    <row r="127" spans="1:4" x14ac:dyDescent="0.3">
      <c r="A127">
        <v>1.99</v>
      </c>
      <c r="B127">
        <v>9.2799999999999994</v>
      </c>
      <c r="C127">
        <v>59.5</v>
      </c>
      <c r="D127">
        <v>11.27</v>
      </c>
    </row>
    <row r="128" spans="1:4" x14ac:dyDescent="0.3">
      <c r="A128">
        <v>5.35</v>
      </c>
      <c r="B128">
        <v>3.7</v>
      </c>
      <c r="C128">
        <v>40.9</v>
      </c>
      <c r="D128">
        <v>9.0500000000000007</v>
      </c>
    </row>
    <row r="129" spans="1:4" x14ac:dyDescent="0.3">
      <c r="A129">
        <v>0.75</v>
      </c>
      <c r="B129">
        <v>7.32</v>
      </c>
      <c r="C129">
        <v>56.7</v>
      </c>
      <c r="D129">
        <v>8.07</v>
      </c>
    </row>
    <row r="130" spans="1:4" x14ac:dyDescent="0.3">
      <c r="A130">
        <v>1.1599999999999999</v>
      </c>
      <c r="B130">
        <v>4.3600000000000003</v>
      </c>
      <c r="C130">
        <v>79</v>
      </c>
      <c r="D130">
        <v>5.52</v>
      </c>
    </row>
    <row r="131" spans="1:4" x14ac:dyDescent="0.3">
      <c r="A131">
        <v>0.96</v>
      </c>
      <c r="B131">
        <v>9.31</v>
      </c>
      <c r="C131">
        <v>60</v>
      </c>
      <c r="D131">
        <v>10.27</v>
      </c>
    </row>
    <row r="132" spans="1:4" x14ac:dyDescent="0.3">
      <c r="A132">
        <v>4.62</v>
      </c>
      <c r="B132">
        <v>4.97</v>
      </c>
      <c r="C132">
        <v>56.1</v>
      </c>
      <c r="D132">
        <v>9.59</v>
      </c>
    </row>
    <row r="133" spans="1:4" x14ac:dyDescent="0.3">
      <c r="A133">
        <v>2.56</v>
      </c>
      <c r="B133">
        <v>9.6300000000000008</v>
      </c>
      <c r="C133">
        <v>39.4</v>
      </c>
      <c r="D133">
        <v>12.19</v>
      </c>
    </row>
    <row r="134" spans="1:4" x14ac:dyDescent="0.3">
      <c r="A134">
        <v>3.86</v>
      </c>
      <c r="B134">
        <v>2.23</v>
      </c>
      <c r="C134">
        <v>64.099999999999994</v>
      </c>
      <c r="D134">
        <v>6.09</v>
      </c>
    </row>
    <row r="135" spans="1:4" x14ac:dyDescent="0.3">
      <c r="A135">
        <v>0.31</v>
      </c>
      <c r="B135">
        <v>5.56</v>
      </c>
      <c r="C135">
        <v>68.8</v>
      </c>
      <c r="D135">
        <v>5.87</v>
      </c>
    </row>
    <row r="136" spans="1:4" x14ac:dyDescent="0.3">
      <c r="A136">
        <v>3.25</v>
      </c>
      <c r="B136">
        <v>6.4</v>
      </c>
      <c r="C136">
        <v>50.5</v>
      </c>
      <c r="D136">
        <v>9.65</v>
      </c>
    </row>
    <row r="137" spans="1:4" x14ac:dyDescent="0.3">
      <c r="A137">
        <v>1.44</v>
      </c>
      <c r="B137">
        <v>7.69</v>
      </c>
      <c r="C137">
        <v>34.4</v>
      </c>
      <c r="D137">
        <v>9.1300000000000008</v>
      </c>
    </row>
    <row r="138" spans="1:4" x14ac:dyDescent="0.3">
      <c r="A138">
        <v>1.21</v>
      </c>
      <c r="B138">
        <v>3.86</v>
      </c>
      <c r="C138">
        <v>79.099999999999994</v>
      </c>
      <c r="D138">
        <v>5.07</v>
      </c>
    </row>
    <row r="139" spans="1:4" x14ac:dyDescent="0.3">
      <c r="A139">
        <v>1.22</v>
      </c>
      <c r="B139">
        <v>6.92</v>
      </c>
      <c r="C139">
        <v>56.2</v>
      </c>
      <c r="D139">
        <v>8.14</v>
      </c>
    </row>
    <row r="140" spans="1:4" x14ac:dyDescent="0.3">
      <c r="A140">
        <v>1.91</v>
      </c>
      <c r="B140">
        <v>9.94</v>
      </c>
      <c r="C140">
        <v>41.2</v>
      </c>
      <c r="D140">
        <v>11.85</v>
      </c>
    </row>
    <row r="141" spans="1:4" x14ac:dyDescent="0.3">
      <c r="A141">
        <v>1.58</v>
      </c>
      <c r="B141">
        <v>8.81</v>
      </c>
      <c r="C141">
        <v>73.599999999999994</v>
      </c>
      <c r="D141">
        <v>10.39</v>
      </c>
    </row>
    <row r="142" spans="1:4" x14ac:dyDescent="0.3">
      <c r="A142">
        <v>0.78</v>
      </c>
      <c r="B142">
        <v>2.98</v>
      </c>
      <c r="C142">
        <v>79.599999999999994</v>
      </c>
      <c r="D142">
        <v>3.76</v>
      </c>
    </row>
    <row r="143" spans="1:4" x14ac:dyDescent="0.3">
      <c r="A143">
        <v>0.34</v>
      </c>
      <c r="B143">
        <v>5.56</v>
      </c>
      <c r="C143">
        <v>67.099999999999994</v>
      </c>
      <c r="D143">
        <v>5.9</v>
      </c>
    </row>
    <row r="144" spans="1:4" x14ac:dyDescent="0.3">
      <c r="A144">
        <v>1.86</v>
      </c>
      <c r="B144">
        <v>6.9</v>
      </c>
      <c r="C144">
        <v>54.4</v>
      </c>
      <c r="D144">
        <v>8.76</v>
      </c>
    </row>
    <row r="145" spans="1:4" x14ac:dyDescent="0.3">
      <c r="A145">
        <v>1.91</v>
      </c>
      <c r="B145">
        <v>10.27</v>
      </c>
      <c r="C145">
        <v>36.4</v>
      </c>
      <c r="D145">
        <v>12.18</v>
      </c>
    </row>
    <row r="146" spans="1:4" x14ac:dyDescent="0.3">
      <c r="A146">
        <v>4.17</v>
      </c>
      <c r="B146">
        <v>4.53</v>
      </c>
      <c r="C146">
        <v>44.2</v>
      </c>
      <c r="D146">
        <v>8.6999999999999993</v>
      </c>
    </row>
    <row r="147" spans="1:4" x14ac:dyDescent="0.3">
      <c r="A147">
        <v>1.47</v>
      </c>
      <c r="B147">
        <v>5.71</v>
      </c>
      <c r="C147">
        <v>64.8</v>
      </c>
      <c r="D147">
        <v>7.18</v>
      </c>
    </row>
    <row r="148" spans="1:4" x14ac:dyDescent="0.3">
      <c r="A148">
        <v>0.93</v>
      </c>
      <c r="B148">
        <v>8.18</v>
      </c>
      <c r="C148">
        <v>45.4</v>
      </c>
      <c r="D148">
        <v>9.11</v>
      </c>
    </row>
    <row r="149" spans="1:4" x14ac:dyDescent="0.3">
      <c r="A149">
        <v>0.37</v>
      </c>
      <c r="B149">
        <v>7.1</v>
      </c>
      <c r="C149">
        <v>37.9</v>
      </c>
      <c r="D149">
        <v>7.47</v>
      </c>
    </row>
    <row r="150" spans="1:4" x14ac:dyDescent="0.3">
      <c r="A150">
        <v>1.93</v>
      </c>
      <c r="B150">
        <v>7.04</v>
      </c>
      <c r="C150">
        <v>51</v>
      </c>
      <c r="D150">
        <v>8.9700000000000006</v>
      </c>
    </row>
    <row r="151" spans="1:4" x14ac:dyDescent="0.3">
      <c r="A151">
        <v>0.7</v>
      </c>
      <c r="B151">
        <v>7.28</v>
      </c>
      <c r="C151">
        <v>50.4</v>
      </c>
      <c r="D151">
        <v>7.98</v>
      </c>
    </row>
    <row r="152" spans="1:4" x14ac:dyDescent="0.3">
      <c r="A152">
        <v>1.48</v>
      </c>
      <c r="B152">
        <v>5.74</v>
      </c>
      <c r="C152">
        <v>48.5</v>
      </c>
      <c r="D152">
        <v>7.22</v>
      </c>
    </row>
    <row r="153" spans="1:4" x14ac:dyDescent="0.3">
      <c r="A153">
        <v>1.04</v>
      </c>
      <c r="B153">
        <v>6.12</v>
      </c>
      <c r="C153">
        <v>77.900000000000006</v>
      </c>
      <c r="D153">
        <v>7.16</v>
      </c>
    </row>
    <row r="154" spans="1:4" x14ac:dyDescent="0.3">
      <c r="A154">
        <v>0.48</v>
      </c>
      <c r="B154">
        <v>9.0399999999999991</v>
      </c>
      <c r="C154">
        <v>44.6</v>
      </c>
      <c r="D154">
        <v>9.52</v>
      </c>
    </row>
    <row r="155" spans="1:4" x14ac:dyDescent="0.3">
      <c r="A155">
        <v>3.06</v>
      </c>
      <c r="B155">
        <v>9.33</v>
      </c>
      <c r="C155">
        <v>37.700000000000003</v>
      </c>
      <c r="D155">
        <v>12.39</v>
      </c>
    </row>
    <row r="156" spans="1:4" x14ac:dyDescent="0.3">
      <c r="A156">
        <v>4.08</v>
      </c>
      <c r="B156">
        <v>4.72</v>
      </c>
      <c r="C156">
        <v>58.2</v>
      </c>
      <c r="D156">
        <v>8.8000000000000007</v>
      </c>
    </row>
    <row r="157" spans="1:4" x14ac:dyDescent="0.3">
      <c r="A157">
        <v>0.51</v>
      </c>
      <c r="B157">
        <v>8.48</v>
      </c>
      <c r="C157">
        <v>55.6</v>
      </c>
      <c r="D157">
        <v>8.99</v>
      </c>
    </row>
    <row r="158" spans="1:4" x14ac:dyDescent="0.3">
      <c r="A158">
        <v>1.1599999999999999</v>
      </c>
      <c r="B158">
        <v>8.5299999999999994</v>
      </c>
      <c r="C158">
        <v>45.5</v>
      </c>
      <c r="D158">
        <v>9.69</v>
      </c>
    </row>
    <row r="159" spans="1:4" x14ac:dyDescent="0.3">
      <c r="A159">
        <v>0.49</v>
      </c>
      <c r="B159">
        <v>9.26</v>
      </c>
      <c r="C159">
        <v>52.8</v>
      </c>
      <c r="D159">
        <v>9.75</v>
      </c>
    </row>
    <row r="160" spans="1:4" x14ac:dyDescent="0.3">
      <c r="A160">
        <v>6.76</v>
      </c>
      <c r="B160">
        <v>5.91</v>
      </c>
      <c r="C160">
        <v>43.7</v>
      </c>
      <c r="D160">
        <v>12.67</v>
      </c>
    </row>
    <row r="161" spans="1:4" x14ac:dyDescent="0.3">
      <c r="A161">
        <v>6.27</v>
      </c>
      <c r="B161">
        <v>5.79</v>
      </c>
      <c r="C161">
        <v>43.2</v>
      </c>
      <c r="D161">
        <v>12.06</v>
      </c>
    </row>
    <row r="162" spans="1:4" x14ac:dyDescent="0.3">
      <c r="A162">
        <v>3.89</v>
      </c>
      <c r="B162">
        <v>3.75</v>
      </c>
      <c r="C162">
        <v>70.099999999999994</v>
      </c>
      <c r="D162">
        <v>7.64</v>
      </c>
    </row>
    <row r="163" spans="1:4" x14ac:dyDescent="0.3">
      <c r="A163">
        <v>1.07</v>
      </c>
      <c r="B163">
        <v>9.19</v>
      </c>
      <c r="C163">
        <v>42.6</v>
      </c>
      <c r="D163">
        <v>10.26</v>
      </c>
    </row>
    <row r="164" spans="1:4" x14ac:dyDescent="0.3">
      <c r="A164">
        <v>1.06</v>
      </c>
      <c r="B164">
        <v>4.51</v>
      </c>
      <c r="C164">
        <v>73.2</v>
      </c>
      <c r="D164">
        <v>5.57</v>
      </c>
    </row>
    <row r="165" spans="1:4" x14ac:dyDescent="0.3">
      <c r="A165">
        <v>2.99</v>
      </c>
      <c r="B165">
        <v>5.33</v>
      </c>
      <c r="C165">
        <v>49.6</v>
      </c>
      <c r="D165">
        <v>8.32</v>
      </c>
    </row>
    <row r="166" spans="1:4" x14ac:dyDescent="0.3">
      <c r="A166">
        <v>1.0900000000000001</v>
      </c>
      <c r="B166">
        <v>9.5399999999999991</v>
      </c>
      <c r="C166">
        <v>50.3</v>
      </c>
      <c r="D166">
        <v>10.63</v>
      </c>
    </row>
    <row r="167" spans="1:4" x14ac:dyDescent="0.3">
      <c r="A167">
        <v>1.18</v>
      </c>
      <c r="B167">
        <v>9.91</v>
      </c>
      <c r="C167">
        <v>44.2</v>
      </c>
      <c r="D167">
        <v>11.09</v>
      </c>
    </row>
    <row r="168" spans="1:4" x14ac:dyDescent="0.3">
      <c r="A168">
        <v>0.33</v>
      </c>
      <c r="B168">
        <v>6.22</v>
      </c>
      <c r="C168">
        <v>61.2</v>
      </c>
      <c r="D168">
        <v>6.55</v>
      </c>
    </row>
    <row r="169" spans="1:4" x14ac:dyDescent="0.3">
      <c r="A169">
        <v>4.76</v>
      </c>
      <c r="B169">
        <v>5.57</v>
      </c>
      <c r="C169">
        <v>57.9</v>
      </c>
      <c r="D169">
        <v>10.33</v>
      </c>
    </row>
    <row r="170" spans="1:4" x14ac:dyDescent="0.3">
      <c r="A170">
        <v>1.34</v>
      </c>
      <c r="B170">
        <v>8.64</v>
      </c>
      <c r="C170">
        <v>35.5</v>
      </c>
      <c r="D170">
        <v>9.98</v>
      </c>
    </row>
    <row r="171" spans="1:4" x14ac:dyDescent="0.3">
      <c r="A171">
        <v>0.4</v>
      </c>
      <c r="B171">
        <v>7.59</v>
      </c>
      <c r="C171">
        <v>57.4</v>
      </c>
      <c r="D171">
        <v>7.99</v>
      </c>
    </row>
    <row r="172" spans="1:4" x14ac:dyDescent="0.3">
      <c r="A172">
        <v>3.89</v>
      </c>
      <c r="B172">
        <v>7.33</v>
      </c>
      <c r="C172">
        <v>39.299999999999997</v>
      </c>
      <c r="D172">
        <v>11.22</v>
      </c>
    </row>
    <row r="173" spans="1:4" x14ac:dyDescent="0.3">
      <c r="A173">
        <v>0.21</v>
      </c>
      <c r="B173">
        <v>3.89</v>
      </c>
      <c r="C173">
        <v>79.099999999999994</v>
      </c>
      <c r="D173">
        <v>4.0999999999999996</v>
      </c>
    </row>
    <row r="174" spans="1:4" x14ac:dyDescent="0.3">
      <c r="A174">
        <v>5.65</v>
      </c>
      <c r="B174">
        <v>4.83</v>
      </c>
      <c r="C174">
        <v>36.799999999999997</v>
      </c>
      <c r="D174">
        <v>10.48</v>
      </c>
    </row>
    <row r="175" spans="1:4" x14ac:dyDescent="0.3">
      <c r="A175">
        <v>1.57</v>
      </c>
      <c r="B175">
        <v>7</v>
      </c>
      <c r="C175">
        <v>52.8</v>
      </c>
      <c r="D175">
        <v>8.57</v>
      </c>
    </row>
    <row r="176" spans="1:4" x14ac:dyDescent="0.3">
      <c r="A176">
        <v>2.48</v>
      </c>
      <c r="B176">
        <v>5.68</v>
      </c>
      <c r="C176">
        <v>62.4</v>
      </c>
      <c r="D176">
        <v>8.16</v>
      </c>
    </row>
    <row r="177" spans="1:4" x14ac:dyDescent="0.3">
      <c r="A177">
        <v>0.56999999999999995</v>
      </c>
      <c r="B177">
        <v>3.99</v>
      </c>
      <c r="C177">
        <v>75.599999999999994</v>
      </c>
      <c r="D177">
        <v>4.5599999999999996</v>
      </c>
    </row>
    <row r="178" spans="1:4" x14ac:dyDescent="0.3">
      <c r="A178">
        <v>1.74</v>
      </c>
      <c r="B178">
        <v>8.14</v>
      </c>
      <c r="C178">
        <v>51.3</v>
      </c>
      <c r="D178">
        <v>9.8800000000000008</v>
      </c>
    </row>
    <row r="179" spans="1:4" x14ac:dyDescent="0.3">
      <c r="A179">
        <v>0.94</v>
      </c>
      <c r="B179">
        <v>6.41</v>
      </c>
      <c r="C179">
        <v>53.9</v>
      </c>
      <c r="D179">
        <v>7.35</v>
      </c>
    </row>
    <row r="180" spans="1:4" x14ac:dyDescent="0.3">
      <c r="A180">
        <v>0.5</v>
      </c>
      <c r="B180">
        <v>6.42</v>
      </c>
      <c r="C180">
        <v>79</v>
      </c>
      <c r="D180">
        <v>6.92</v>
      </c>
    </row>
    <row r="181" spans="1:4" x14ac:dyDescent="0.3">
      <c r="A181">
        <v>0.35</v>
      </c>
      <c r="B181">
        <v>6.7</v>
      </c>
      <c r="C181">
        <v>59.1</v>
      </c>
      <c r="D181">
        <v>7.05</v>
      </c>
    </row>
    <row r="182" spans="1:4" x14ac:dyDescent="0.3">
      <c r="A182">
        <v>2.5099999999999998</v>
      </c>
      <c r="B182">
        <v>10.41</v>
      </c>
      <c r="C182">
        <v>43.7</v>
      </c>
      <c r="D182">
        <v>12.92</v>
      </c>
    </row>
    <row r="183" spans="1:4" x14ac:dyDescent="0.3">
      <c r="A183">
        <v>2.88</v>
      </c>
      <c r="B183">
        <v>8.18</v>
      </c>
      <c r="C183">
        <v>28.1</v>
      </c>
      <c r="D183">
        <v>11.06</v>
      </c>
    </row>
    <row r="184" spans="1:4" x14ac:dyDescent="0.3">
      <c r="A184">
        <v>6.43</v>
      </c>
      <c r="B184">
        <v>4.32</v>
      </c>
      <c r="C184">
        <v>66.8</v>
      </c>
      <c r="D184">
        <v>10.75</v>
      </c>
    </row>
    <row r="185" spans="1:4" x14ac:dyDescent="0.3">
      <c r="A185">
        <v>6.71</v>
      </c>
      <c r="B185">
        <v>5.56</v>
      </c>
      <c r="C185">
        <v>48.6</v>
      </c>
      <c r="D185">
        <v>12.27</v>
      </c>
    </row>
    <row r="186" spans="1:4" x14ac:dyDescent="0.3">
      <c r="A186">
        <v>2.0299999999999998</v>
      </c>
      <c r="B186">
        <v>11.48</v>
      </c>
      <c r="C186">
        <v>36</v>
      </c>
      <c r="D186">
        <v>13.51</v>
      </c>
    </row>
    <row r="187" spans="1:4" x14ac:dyDescent="0.3">
      <c r="A187">
        <v>0.84</v>
      </c>
      <c r="B187">
        <v>9.35</v>
      </c>
      <c r="C187">
        <v>30.9</v>
      </c>
      <c r="D187">
        <v>10.19</v>
      </c>
    </row>
    <row r="188" spans="1:4" x14ac:dyDescent="0.3">
      <c r="A188">
        <v>0.71</v>
      </c>
      <c r="B188">
        <v>6.31</v>
      </c>
      <c r="C188">
        <v>69.599999999999994</v>
      </c>
      <c r="D188">
        <v>7.02</v>
      </c>
    </row>
    <row r="189" spans="1:4" x14ac:dyDescent="0.3">
      <c r="A189">
        <v>2.2400000000000002</v>
      </c>
      <c r="B189">
        <v>5.0999999999999996</v>
      </c>
      <c r="C189">
        <v>41.9</v>
      </c>
      <c r="D189">
        <v>7.34</v>
      </c>
    </row>
    <row r="190" spans="1:4" x14ac:dyDescent="0.3">
      <c r="A190">
        <v>0.54</v>
      </c>
      <c r="B190">
        <v>9.86</v>
      </c>
      <c r="C190">
        <v>45.1</v>
      </c>
      <c r="D190">
        <v>10.4</v>
      </c>
    </row>
    <row r="191" spans="1:4" x14ac:dyDescent="0.3">
      <c r="A191">
        <v>4.01</v>
      </c>
      <c r="B191">
        <v>6.81</v>
      </c>
      <c r="C191">
        <v>50.2</v>
      </c>
      <c r="D191">
        <v>10.82</v>
      </c>
    </row>
    <row r="192" spans="1:4" x14ac:dyDescent="0.3">
      <c r="A192">
        <v>0.57999999999999996</v>
      </c>
      <c r="B192">
        <v>5.27</v>
      </c>
      <c r="C192">
        <v>54</v>
      </c>
      <c r="D192">
        <v>5.85</v>
      </c>
    </row>
    <row r="193" spans="1:4" x14ac:dyDescent="0.3">
      <c r="A193">
        <v>2.64</v>
      </c>
      <c r="B193">
        <v>8.31</v>
      </c>
      <c r="C193">
        <v>48.3</v>
      </c>
      <c r="D193">
        <v>10.95</v>
      </c>
    </row>
    <row r="194" spans="1:4" x14ac:dyDescent="0.3">
      <c r="A194">
        <v>3.75</v>
      </c>
      <c r="B194">
        <v>4.33</v>
      </c>
      <c r="C194">
        <v>62.7</v>
      </c>
      <c r="D194">
        <v>8.08</v>
      </c>
    </row>
    <row r="195" spans="1:4" x14ac:dyDescent="0.3">
      <c r="A195">
        <v>0.57999999999999996</v>
      </c>
      <c r="B195">
        <v>11.07</v>
      </c>
      <c r="C195">
        <v>46.4</v>
      </c>
      <c r="D195">
        <v>11.65</v>
      </c>
    </row>
    <row r="196" spans="1:4" x14ac:dyDescent="0.3">
      <c r="A196">
        <v>1.62</v>
      </c>
      <c r="B196">
        <v>7.31</v>
      </c>
      <c r="C196">
        <v>44.7</v>
      </c>
      <c r="D196">
        <v>8.93</v>
      </c>
    </row>
    <row r="197" spans="1:4" x14ac:dyDescent="0.3">
      <c r="A197">
        <v>7.06</v>
      </c>
      <c r="B197">
        <v>4.7300000000000004</v>
      </c>
      <c r="C197">
        <v>31.8</v>
      </c>
      <c r="D197">
        <v>11.79</v>
      </c>
    </row>
    <row r="198" spans="1:4" x14ac:dyDescent="0.3">
      <c r="A198">
        <v>0.59</v>
      </c>
      <c r="B198">
        <v>5.5</v>
      </c>
      <c r="C198">
        <v>66.7</v>
      </c>
      <c r="D198">
        <v>6.09</v>
      </c>
    </row>
    <row r="199" spans="1:4" x14ac:dyDescent="0.3">
      <c r="A199">
        <v>1.1499999999999999</v>
      </c>
      <c r="B199">
        <v>7.49</v>
      </c>
      <c r="C199">
        <v>57</v>
      </c>
      <c r="D199">
        <v>8.64</v>
      </c>
    </row>
    <row r="200" spans="1:4" x14ac:dyDescent="0.3">
      <c r="A200">
        <v>0.87</v>
      </c>
      <c r="B200">
        <v>6.84</v>
      </c>
      <c r="C200">
        <v>52.5</v>
      </c>
      <c r="D200">
        <v>7.71</v>
      </c>
    </row>
    <row r="201" spans="1:4" x14ac:dyDescent="0.3">
      <c r="A201">
        <v>0.88</v>
      </c>
      <c r="B201">
        <v>9.8000000000000007</v>
      </c>
      <c r="C201">
        <v>50.1</v>
      </c>
      <c r="D201">
        <v>10.68</v>
      </c>
    </row>
    <row r="202" spans="1:4" x14ac:dyDescent="0.3">
      <c r="A202">
        <v>0.65</v>
      </c>
      <c r="B202">
        <v>8.08</v>
      </c>
      <c r="C202">
        <v>59.9</v>
      </c>
      <c r="D202">
        <v>8.73</v>
      </c>
    </row>
    <row r="203" spans="1:4" x14ac:dyDescent="0.3">
      <c r="A203">
        <v>0.72</v>
      </c>
      <c r="B203">
        <v>6.58</v>
      </c>
      <c r="C203">
        <v>47.6</v>
      </c>
      <c r="D203">
        <v>7.3</v>
      </c>
    </row>
    <row r="204" spans="1:4" x14ac:dyDescent="0.3">
      <c r="A204">
        <v>7.48</v>
      </c>
      <c r="B204">
        <v>3.41</v>
      </c>
      <c r="C204">
        <v>54.6</v>
      </c>
      <c r="D204">
        <v>10.89</v>
      </c>
    </row>
    <row r="205" spans="1:4" x14ac:dyDescent="0.3">
      <c r="A205">
        <v>1.56</v>
      </c>
      <c r="B205">
        <v>9.58</v>
      </c>
      <c r="C205">
        <v>43.4</v>
      </c>
      <c r="D205">
        <v>11.14</v>
      </c>
    </row>
    <row r="206" spans="1:4" x14ac:dyDescent="0.3">
      <c r="A206">
        <v>2.93</v>
      </c>
      <c r="B206">
        <v>9.6300000000000008</v>
      </c>
      <c r="C206">
        <v>36.9</v>
      </c>
      <c r="D206">
        <v>12.56</v>
      </c>
    </row>
    <row r="207" spans="1:4" x14ac:dyDescent="0.3">
      <c r="A207">
        <v>6.74</v>
      </c>
      <c r="B207">
        <v>5.22</v>
      </c>
      <c r="C207">
        <v>39.1</v>
      </c>
      <c r="D207">
        <v>11.96</v>
      </c>
    </row>
    <row r="208" spans="1:4" x14ac:dyDescent="0.3">
      <c r="A208">
        <v>0.56000000000000005</v>
      </c>
      <c r="B208">
        <v>10.59</v>
      </c>
      <c r="C208">
        <v>54.3</v>
      </c>
      <c r="D208">
        <v>11.15</v>
      </c>
    </row>
    <row r="209" spans="1:4" x14ac:dyDescent="0.3">
      <c r="A209">
        <v>3.59</v>
      </c>
      <c r="B209">
        <v>1.69</v>
      </c>
      <c r="C209">
        <v>65.400000000000006</v>
      </c>
      <c r="D209">
        <v>5.28</v>
      </c>
    </row>
    <row r="210" spans="1:4" x14ac:dyDescent="0.3">
      <c r="A210">
        <v>1.08</v>
      </c>
      <c r="B210">
        <v>6.24</v>
      </c>
      <c r="C210">
        <v>54.6</v>
      </c>
      <c r="D210">
        <v>7.32</v>
      </c>
    </row>
    <row r="211" spans="1:4" x14ac:dyDescent="0.3">
      <c r="A211">
        <v>0.47</v>
      </c>
      <c r="B211">
        <v>8.92</v>
      </c>
      <c r="C211">
        <v>40.6</v>
      </c>
      <c r="D211">
        <v>9.39</v>
      </c>
    </row>
    <row r="212" spans="1:4" x14ac:dyDescent="0.3">
      <c r="A212">
        <v>4.7</v>
      </c>
      <c r="B212">
        <v>6.42</v>
      </c>
      <c r="C212">
        <v>45.4</v>
      </c>
      <c r="D212">
        <v>11.12</v>
      </c>
    </row>
    <row r="213" spans="1:4" x14ac:dyDescent="0.3">
      <c r="A213">
        <v>0.68</v>
      </c>
      <c r="B213">
        <v>10.96</v>
      </c>
      <c r="C213">
        <v>38.1</v>
      </c>
      <c r="D213">
        <v>11.64</v>
      </c>
    </row>
    <row r="214" spans="1:4" x14ac:dyDescent="0.3">
      <c r="A214">
        <v>0.98</v>
      </c>
      <c r="B214">
        <v>8.15</v>
      </c>
      <c r="C214">
        <v>57.5</v>
      </c>
      <c r="D214">
        <v>9.1300000000000008</v>
      </c>
    </row>
    <row r="215" spans="1:4" x14ac:dyDescent="0.3">
      <c r="A215">
        <v>0.48</v>
      </c>
      <c r="B215">
        <v>7</v>
      </c>
      <c r="C215">
        <v>70.8</v>
      </c>
      <c r="D215">
        <v>7.48</v>
      </c>
    </row>
    <row r="216" spans="1:4" x14ac:dyDescent="0.3">
      <c r="A216">
        <v>1.22</v>
      </c>
      <c r="B216">
        <v>8.81</v>
      </c>
      <c r="C216">
        <v>46.8</v>
      </c>
      <c r="D216">
        <v>10.029999999999999</v>
      </c>
    </row>
    <row r="217" spans="1:4" x14ac:dyDescent="0.3">
      <c r="A217">
        <v>1.97</v>
      </c>
      <c r="B217">
        <v>3.53</v>
      </c>
      <c r="C217">
        <v>64.2</v>
      </c>
      <c r="D217">
        <v>5.5</v>
      </c>
    </row>
    <row r="218" spans="1:4" x14ac:dyDescent="0.3">
      <c r="A218">
        <v>2.23</v>
      </c>
      <c r="B218">
        <v>7.3</v>
      </c>
      <c r="C218">
        <v>46.6</v>
      </c>
      <c r="D218">
        <v>9.5299999999999994</v>
      </c>
    </row>
    <row r="219" spans="1:4" x14ac:dyDescent="0.3">
      <c r="A219">
        <v>0.92</v>
      </c>
      <c r="B219">
        <v>7.24</v>
      </c>
      <c r="C219">
        <v>56.6</v>
      </c>
      <c r="D219">
        <v>8.16</v>
      </c>
    </row>
    <row r="220" spans="1:4" x14ac:dyDescent="0.3">
      <c r="A220">
        <v>0.8</v>
      </c>
      <c r="B220">
        <v>8.52</v>
      </c>
      <c r="C220">
        <v>56.3</v>
      </c>
      <c r="D220">
        <v>9.32</v>
      </c>
    </row>
    <row r="221" spans="1:4" x14ac:dyDescent="0.3">
      <c r="A221">
        <v>1.06</v>
      </c>
      <c r="B221">
        <v>6.36</v>
      </c>
      <c r="C221">
        <v>72.900000000000006</v>
      </c>
      <c r="D221">
        <v>7.42</v>
      </c>
    </row>
    <row r="222" spans="1:4" x14ac:dyDescent="0.3">
      <c r="A222">
        <v>1.85</v>
      </c>
      <c r="B222">
        <v>6.21</v>
      </c>
      <c r="C222">
        <v>56.6</v>
      </c>
      <c r="D222">
        <v>8.06</v>
      </c>
    </row>
    <row r="223" spans="1:4" x14ac:dyDescent="0.3">
      <c r="A223">
        <v>2.33</v>
      </c>
      <c r="B223">
        <v>7.18</v>
      </c>
      <c r="C223">
        <v>49</v>
      </c>
      <c r="D223">
        <v>9.51</v>
      </c>
    </row>
    <row r="224" spans="1:4" x14ac:dyDescent="0.3">
      <c r="A224">
        <v>6.4</v>
      </c>
      <c r="B224">
        <v>5.45</v>
      </c>
      <c r="C224">
        <v>32.700000000000003</v>
      </c>
      <c r="D224">
        <v>11.85</v>
      </c>
    </row>
    <row r="225" spans="1:4" x14ac:dyDescent="0.3">
      <c r="A225">
        <v>1.25</v>
      </c>
      <c r="B225">
        <v>9.39</v>
      </c>
      <c r="C225">
        <v>36.5</v>
      </c>
      <c r="D225">
        <v>10.64</v>
      </c>
    </row>
    <row r="226" spans="1:4" x14ac:dyDescent="0.3">
      <c r="A226">
        <v>0.73</v>
      </c>
      <c r="B226">
        <v>6.78</v>
      </c>
      <c r="C226">
        <v>58.5</v>
      </c>
      <c r="D226">
        <v>7.51</v>
      </c>
    </row>
    <row r="227" spans="1:4" x14ac:dyDescent="0.3">
      <c r="A227">
        <v>0.31</v>
      </c>
      <c r="B227">
        <v>5.89</v>
      </c>
      <c r="C227">
        <v>60.7</v>
      </c>
      <c r="D227">
        <v>6.2</v>
      </c>
    </row>
    <row r="228" spans="1:4" x14ac:dyDescent="0.3">
      <c r="A228">
        <v>0.96</v>
      </c>
      <c r="B228">
        <v>6.3</v>
      </c>
      <c r="C228">
        <v>58.8</v>
      </c>
      <c r="D228">
        <v>7.26</v>
      </c>
    </row>
    <row r="229" spans="1:4" x14ac:dyDescent="0.3">
      <c r="A229">
        <v>3.11</v>
      </c>
      <c r="B229">
        <v>7.12</v>
      </c>
      <c r="C229">
        <v>44.1</v>
      </c>
      <c r="D229">
        <v>10.23</v>
      </c>
    </row>
    <row r="230" spans="1:4" x14ac:dyDescent="0.3">
      <c r="A230">
        <v>5.4</v>
      </c>
      <c r="B230">
        <v>4.78</v>
      </c>
      <c r="C230">
        <v>42.1</v>
      </c>
      <c r="D230">
        <v>10.18</v>
      </c>
    </row>
    <row r="231" spans="1:4" x14ac:dyDescent="0.3">
      <c r="A231">
        <v>1.47</v>
      </c>
      <c r="B231">
        <v>7.51</v>
      </c>
      <c r="C231">
        <v>55.5</v>
      </c>
      <c r="D231">
        <v>8.98</v>
      </c>
    </row>
    <row r="232" spans="1:4" x14ac:dyDescent="0.3">
      <c r="A232">
        <v>0.96</v>
      </c>
      <c r="B232">
        <v>9.43</v>
      </c>
      <c r="C232">
        <v>46.3</v>
      </c>
      <c r="D232">
        <v>10.39</v>
      </c>
    </row>
    <row r="233" spans="1:4" x14ac:dyDescent="0.3">
      <c r="A233">
        <v>0.48</v>
      </c>
      <c r="B233">
        <v>8.23</v>
      </c>
      <c r="C233">
        <v>48.5</v>
      </c>
      <c r="D233">
        <v>8.7100000000000009</v>
      </c>
    </row>
    <row r="234" spans="1:4" x14ac:dyDescent="0.3">
      <c r="A234">
        <v>0.45</v>
      </c>
      <c r="B234">
        <v>8.59</v>
      </c>
      <c r="C234">
        <v>49.9</v>
      </c>
      <c r="D234">
        <v>9.0399999999999991</v>
      </c>
    </row>
    <row r="235" spans="1:4" x14ac:dyDescent="0.3">
      <c r="A235">
        <v>1.19</v>
      </c>
      <c r="B235">
        <v>5.86</v>
      </c>
      <c r="C235">
        <v>69.099999999999994</v>
      </c>
      <c r="D235">
        <v>7.05</v>
      </c>
    </row>
    <row r="236" spans="1:4" x14ac:dyDescent="0.3">
      <c r="A236">
        <v>2.5</v>
      </c>
      <c r="B236">
        <v>5.26</v>
      </c>
      <c r="C236">
        <v>60.6</v>
      </c>
      <c r="D236">
        <v>7.76</v>
      </c>
    </row>
    <row r="237" spans="1:4" x14ac:dyDescent="0.3">
      <c r="A237">
        <v>0.72</v>
      </c>
      <c r="B237">
        <v>6.14</v>
      </c>
      <c r="C237">
        <v>82.7</v>
      </c>
      <c r="D237">
        <v>6.86</v>
      </c>
    </row>
    <row r="238" spans="1:4" x14ac:dyDescent="0.3">
      <c r="A238">
        <v>0.56999999999999995</v>
      </c>
      <c r="B238">
        <v>9.82</v>
      </c>
      <c r="C238">
        <v>47.9</v>
      </c>
      <c r="D238">
        <v>10.39</v>
      </c>
    </row>
    <row r="239" spans="1:4" x14ac:dyDescent="0.3">
      <c r="A239">
        <v>0.51</v>
      </c>
      <c r="B239">
        <v>9.6199999999999992</v>
      </c>
      <c r="C239">
        <v>38.6</v>
      </c>
      <c r="D239">
        <v>10.130000000000001</v>
      </c>
    </row>
    <row r="240" spans="1:4" x14ac:dyDescent="0.3">
      <c r="A240">
        <v>6.69</v>
      </c>
      <c r="B240">
        <v>2.11</v>
      </c>
      <c r="C240">
        <v>76.900000000000006</v>
      </c>
      <c r="D240">
        <v>8.8000000000000007</v>
      </c>
    </row>
    <row r="241" spans="1:4" x14ac:dyDescent="0.3">
      <c r="A241">
        <v>1.83</v>
      </c>
      <c r="B241">
        <v>6.62</v>
      </c>
      <c r="C241">
        <v>72.5</v>
      </c>
      <c r="D241">
        <v>8.4499999999999993</v>
      </c>
    </row>
    <row r="242" spans="1:4" x14ac:dyDescent="0.3">
      <c r="A242">
        <v>2.5499999999999998</v>
      </c>
      <c r="B242">
        <v>7.58</v>
      </c>
      <c r="C242">
        <v>43.8</v>
      </c>
      <c r="D242">
        <v>10.130000000000001</v>
      </c>
    </row>
    <row r="243" spans="1:4" x14ac:dyDescent="0.3">
      <c r="A243">
        <v>5.75</v>
      </c>
      <c r="B243">
        <v>3.86</v>
      </c>
      <c r="C243">
        <v>59.5</v>
      </c>
      <c r="D243">
        <v>9.61</v>
      </c>
    </row>
    <row r="244" spans="1:4" x14ac:dyDescent="0.3">
      <c r="A244">
        <v>5.84</v>
      </c>
      <c r="B244">
        <v>6.85</v>
      </c>
      <c r="C244">
        <v>51.4</v>
      </c>
      <c r="D244">
        <v>12.69</v>
      </c>
    </row>
    <row r="245" spans="1:4" x14ac:dyDescent="0.3">
      <c r="A245">
        <v>4.91</v>
      </c>
      <c r="B245">
        <v>6.28</v>
      </c>
      <c r="C245">
        <v>41</v>
      </c>
      <c r="D245">
        <v>11.19</v>
      </c>
    </row>
    <row r="246" spans="1:4" x14ac:dyDescent="0.3">
      <c r="A246">
        <v>0.41</v>
      </c>
      <c r="B246">
        <v>4.46</v>
      </c>
      <c r="C246">
        <v>88.9</v>
      </c>
      <c r="D246">
        <v>4.87</v>
      </c>
    </row>
    <row r="247" spans="1:4" x14ac:dyDescent="0.3">
      <c r="A247">
        <v>0.79</v>
      </c>
      <c r="B247">
        <v>12.87</v>
      </c>
      <c r="C247">
        <v>36.5</v>
      </c>
      <c r="D247">
        <v>13.66</v>
      </c>
    </row>
    <row r="248" spans="1:4" x14ac:dyDescent="0.3">
      <c r="A248">
        <v>0.65</v>
      </c>
      <c r="B248">
        <v>9.15</v>
      </c>
      <c r="C248">
        <v>53.2</v>
      </c>
      <c r="D248">
        <v>9.8000000000000007</v>
      </c>
    </row>
    <row r="249" spans="1:4" x14ac:dyDescent="0.3">
      <c r="A249">
        <v>4.43</v>
      </c>
      <c r="B249">
        <v>1.99</v>
      </c>
      <c r="C249">
        <v>65.599999999999994</v>
      </c>
      <c r="D249">
        <v>6.42</v>
      </c>
    </row>
    <row r="250" spans="1:4" x14ac:dyDescent="0.3">
      <c r="A250">
        <v>0.46</v>
      </c>
      <c r="B250">
        <v>8.8000000000000007</v>
      </c>
      <c r="C250">
        <v>65.099999999999994</v>
      </c>
      <c r="D250">
        <v>9.26</v>
      </c>
    </row>
    <row r="251" spans="1:4" x14ac:dyDescent="0.3">
      <c r="A251">
        <v>1.1599999999999999</v>
      </c>
      <c r="B251">
        <v>8.5</v>
      </c>
      <c r="C251">
        <v>50.5</v>
      </c>
      <c r="D251">
        <v>9.66</v>
      </c>
    </row>
    <row r="252" spans="1:4" x14ac:dyDescent="0.3">
      <c r="A252">
        <v>1</v>
      </c>
      <c r="B252">
        <v>7.87</v>
      </c>
      <c r="C252">
        <v>48.8</v>
      </c>
      <c r="D252">
        <v>8.8699999999999992</v>
      </c>
    </row>
    <row r="253" spans="1:4" x14ac:dyDescent="0.3">
      <c r="A253">
        <v>2.93</v>
      </c>
      <c r="B253">
        <v>5.96</v>
      </c>
      <c r="C253">
        <v>65.7</v>
      </c>
      <c r="D253">
        <v>8.89</v>
      </c>
    </row>
    <row r="254" spans="1:4" x14ac:dyDescent="0.3">
      <c r="A254">
        <v>1.79</v>
      </c>
      <c r="B254">
        <v>6.04</v>
      </c>
      <c r="C254">
        <v>60.9</v>
      </c>
      <c r="D254">
        <v>7.83</v>
      </c>
    </row>
    <row r="255" spans="1:4" x14ac:dyDescent="0.3">
      <c r="A255">
        <v>2.4</v>
      </c>
      <c r="B255">
        <v>11.78</v>
      </c>
      <c r="C255">
        <v>48.1</v>
      </c>
      <c r="D255">
        <v>14.18</v>
      </c>
    </row>
    <row r="256" spans="1:4" x14ac:dyDescent="0.3">
      <c r="A256">
        <v>0.55000000000000004</v>
      </c>
      <c r="B256">
        <v>7.09</v>
      </c>
      <c r="C256">
        <v>58.3</v>
      </c>
      <c r="D256">
        <v>7.64</v>
      </c>
    </row>
    <row r="257" spans="1:4" x14ac:dyDescent="0.3">
      <c r="A257">
        <v>0.68</v>
      </c>
      <c r="B257">
        <v>8.18</v>
      </c>
      <c r="C257">
        <v>50.4</v>
      </c>
      <c r="D257">
        <v>8.86</v>
      </c>
    </row>
    <row r="258" spans="1:4" x14ac:dyDescent="0.3">
      <c r="A258">
        <v>1.42</v>
      </c>
      <c r="B258">
        <v>6.66</v>
      </c>
      <c r="C258">
        <v>43.6</v>
      </c>
      <c r="D258">
        <v>8.08</v>
      </c>
    </row>
    <row r="259" spans="1:4" x14ac:dyDescent="0.3">
      <c r="A259">
        <v>0.88</v>
      </c>
      <c r="B259">
        <v>7.07</v>
      </c>
      <c r="C259">
        <v>67.3</v>
      </c>
      <c r="D259">
        <v>7.95</v>
      </c>
    </row>
    <row r="260" spans="1:4" x14ac:dyDescent="0.3">
      <c r="A260">
        <v>6.1</v>
      </c>
      <c r="B260">
        <v>3.13</v>
      </c>
      <c r="C260">
        <v>52.2</v>
      </c>
      <c r="D260">
        <v>9.23</v>
      </c>
    </row>
    <row r="261" spans="1:4" x14ac:dyDescent="0.3">
      <c r="A261">
        <v>2.5499999999999998</v>
      </c>
      <c r="B261">
        <v>6.65</v>
      </c>
      <c r="C261">
        <v>39.799999999999997</v>
      </c>
      <c r="D261">
        <v>9.1999999999999993</v>
      </c>
    </row>
    <row r="262" spans="1:4" x14ac:dyDescent="0.3">
      <c r="A262">
        <v>0.57999999999999996</v>
      </c>
      <c r="B262">
        <v>10.97</v>
      </c>
      <c r="C262">
        <v>56.2</v>
      </c>
      <c r="D262">
        <v>11.55</v>
      </c>
    </row>
    <row r="263" spans="1:4" x14ac:dyDescent="0.3">
      <c r="A263">
        <v>0.37</v>
      </c>
      <c r="B263">
        <v>5.78</v>
      </c>
      <c r="C263">
        <v>64.599999999999994</v>
      </c>
      <c r="D263">
        <v>6.15</v>
      </c>
    </row>
    <row r="264" spans="1:4" x14ac:dyDescent="0.3">
      <c r="A264">
        <v>2.73</v>
      </c>
      <c r="B264">
        <v>6.28</v>
      </c>
      <c r="C264">
        <v>49</v>
      </c>
      <c r="D264">
        <v>9.01</v>
      </c>
    </row>
    <row r="265" spans="1:4" x14ac:dyDescent="0.3">
      <c r="A265">
        <v>3.68</v>
      </c>
      <c r="B265">
        <v>2.19</v>
      </c>
      <c r="C265">
        <v>62.2</v>
      </c>
      <c r="D265">
        <v>5.87</v>
      </c>
    </row>
    <row r="266" spans="1:4" x14ac:dyDescent="0.3">
      <c r="A266">
        <v>5.13</v>
      </c>
      <c r="B266">
        <v>5</v>
      </c>
      <c r="C266">
        <v>47.1</v>
      </c>
      <c r="D266">
        <v>10.130000000000001</v>
      </c>
    </row>
    <row r="267" spans="1:4" x14ac:dyDescent="0.3">
      <c r="A267">
        <v>0.53</v>
      </c>
      <c r="B267">
        <v>10.039999999999999</v>
      </c>
      <c r="C267">
        <v>60.4</v>
      </c>
      <c r="D267">
        <v>10.57</v>
      </c>
    </row>
    <row r="268" spans="1:4" x14ac:dyDescent="0.3">
      <c r="A268">
        <v>5.27</v>
      </c>
      <c r="B268">
        <v>7.12</v>
      </c>
      <c r="C268">
        <v>20.6</v>
      </c>
      <c r="D268">
        <v>12.39</v>
      </c>
    </row>
    <row r="269" spans="1:4" x14ac:dyDescent="0.3">
      <c r="A269">
        <v>12.04</v>
      </c>
      <c r="B269">
        <v>7.13</v>
      </c>
      <c r="C269">
        <v>28.4</v>
      </c>
      <c r="D269">
        <v>19.170000000000002</v>
      </c>
    </row>
    <row r="270" spans="1:4" x14ac:dyDescent="0.3">
      <c r="A270">
        <v>1.1100000000000001</v>
      </c>
      <c r="B270">
        <v>8.83</v>
      </c>
      <c r="C270">
        <v>42.2</v>
      </c>
      <c r="D270">
        <v>9.94</v>
      </c>
    </row>
    <row r="271" spans="1:4" x14ac:dyDescent="0.3">
      <c r="A271">
        <v>1.04</v>
      </c>
      <c r="B271">
        <v>3.43</v>
      </c>
      <c r="C271">
        <v>88.1</v>
      </c>
      <c r="D271">
        <v>4.47</v>
      </c>
    </row>
    <row r="272" spans="1:4" x14ac:dyDescent="0.3">
      <c r="A272">
        <v>6.2</v>
      </c>
      <c r="B272">
        <v>4.34</v>
      </c>
      <c r="C272">
        <v>40.4</v>
      </c>
      <c r="D272">
        <v>10.54</v>
      </c>
    </row>
    <row r="273" spans="1:4" x14ac:dyDescent="0.3">
      <c r="A273">
        <v>0.67</v>
      </c>
      <c r="B273">
        <v>6.57</v>
      </c>
      <c r="C273">
        <v>54</v>
      </c>
      <c r="D273">
        <v>7.24</v>
      </c>
    </row>
    <row r="274" spans="1:4" x14ac:dyDescent="0.3">
      <c r="A274">
        <v>3.61</v>
      </c>
      <c r="B274">
        <v>5.46</v>
      </c>
      <c r="C274">
        <v>41.9</v>
      </c>
      <c r="D274">
        <v>9.07</v>
      </c>
    </row>
    <row r="275" spans="1:4" x14ac:dyDescent="0.3">
      <c r="A275">
        <v>1.26</v>
      </c>
      <c r="B275">
        <v>8.25</v>
      </c>
      <c r="C275">
        <v>70.3</v>
      </c>
      <c r="D275">
        <v>9.51</v>
      </c>
    </row>
    <row r="276" spans="1:4" x14ac:dyDescent="0.3">
      <c r="A276">
        <v>7.1</v>
      </c>
      <c r="B276">
        <v>6.99</v>
      </c>
      <c r="C276">
        <v>51.3</v>
      </c>
      <c r="D276">
        <v>14.09</v>
      </c>
    </row>
    <row r="277" spans="1:4" x14ac:dyDescent="0.3">
      <c r="A277">
        <v>1.48</v>
      </c>
      <c r="B277">
        <v>4.1100000000000003</v>
      </c>
      <c r="C277">
        <v>75.099999999999994</v>
      </c>
      <c r="D277">
        <v>5.59</v>
      </c>
    </row>
    <row r="278" spans="1:4" x14ac:dyDescent="0.3">
      <c r="A278">
        <v>0.28999999999999998</v>
      </c>
      <c r="B278">
        <v>2.15</v>
      </c>
      <c r="C278">
        <v>65.599999999999994</v>
      </c>
      <c r="D278">
        <v>2.44</v>
      </c>
    </row>
    <row r="279" spans="1:4" x14ac:dyDescent="0.3">
      <c r="A279">
        <v>0.42</v>
      </c>
      <c r="B279">
        <v>7.96</v>
      </c>
      <c r="C279">
        <v>75.7</v>
      </c>
      <c r="D279">
        <v>8.3800000000000008</v>
      </c>
    </row>
    <row r="280" spans="1:4" x14ac:dyDescent="0.3">
      <c r="A280">
        <v>3.6</v>
      </c>
      <c r="B280">
        <v>5.66</v>
      </c>
      <c r="C280">
        <v>43.6</v>
      </c>
      <c r="D280">
        <v>9.26</v>
      </c>
    </row>
    <row r="281" spans="1:4" x14ac:dyDescent="0.3">
      <c r="A281">
        <v>2.63</v>
      </c>
      <c r="B281">
        <v>10.1</v>
      </c>
      <c r="C281">
        <v>30.5</v>
      </c>
      <c r="D281">
        <v>12.73</v>
      </c>
    </row>
    <row r="282" spans="1:4" x14ac:dyDescent="0.3">
      <c r="A282">
        <v>0.51</v>
      </c>
      <c r="B282">
        <v>9.69</v>
      </c>
      <c r="C282">
        <v>42.2</v>
      </c>
      <c r="D282">
        <v>10.199999999999999</v>
      </c>
    </row>
    <row r="283" spans="1:4" x14ac:dyDescent="0.3">
      <c r="A283">
        <v>2.83</v>
      </c>
      <c r="B283">
        <v>8.84</v>
      </c>
      <c r="C283">
        <v>59.6</v>
      </c>
      <c r="D283">
        <v>11.67</v>
      </c>
    </row>
    <row r="284" spans="1:4" x14ac:dyDescent="0.3">
      <c r="A284">
        <v>2.5099999999999998</v>
      </c>
      <c r="B284">
        <v>7.24</v>
      </c>
      <c r="C284">
        <v>66.2</v>
      </c>
      <c r="D284">
        <v>9.75</v>
      </c>
    </row>
    <row r="285" spans="1:4" x14ac:dyDescent="0.3">
      <c r="A285">
        <v>0.89</v>
      </c>
      <c r="B285">
        <v>4.1399999999999997</v>
      </c>
      <c r="C285">
        <v>64.599999999999994</v>
      </c>
      <c r="D285">
        <v>5.03</v>
      </c>
    </row>
    <row r="286" spans="1:4" x14ac:dyDescent="0.3">
      <c r="A286">
        <v>0.44</v>
      </c>
      <c r="B286">
        <v>8.44</v>
      </c>
      <c r="C286">
        <v>42.4</v>
      </c>
      <c r="D286">
        <v>8.8800000000000008</v>
      </c>
    </row>
    <row r="287" spans="1:4" x14ac:dyDescent="0.3">
      <c r="A287">
        <v>1.17</v>
      </c>
      <c r="B287">
        <v>9.9499999999999993</v>
      </c>
      <c r="C287">
        <v>47</v>
      </c>
      <c r="D287">
        <v>11.12</v>
      </c>
    </row>
    <row r="288" spans="1:4" x14ac:dyDescent="0.3">
      <c r="A288">
        <v>0.31</v>
      </c>
      <c r="B288">
        <v>5.04</v>
      </c>
      <c r="C288">
        <v>75.7</v>
      </c>
      <c r="D288">
        <v>5.35</v>
      </c>
    </row>
    <row r="289" spans="1:4" x14ac:dyDescent="0.3">
      <c r="A289">
        <v>4.83</v>
      </c>
      <c r="B289">
        <v>5.55</v>
      </c>
      <c r="C289">
        <v>49.2</v>
      </c>
      <c r="D289">
        <v>10.38</v>
      </c>
    </row>
    <row r="290" spans="1:4" x14ac:dyDescent="0.3">
      <c r="A290">
        <v>0.54</v>
      </c>
      <c r="B290">
        <v>10.25</v>
      </c>
      <c r="C290">
        <v>46.8</v>
      </c>
      <c r="D290">
        <v>10.79</v>
      </c>
    </row>
    <row r="291" spans="1:4" x14ac:dyDescent="0.3">
      <c r="A291">
        <v>1.53</v>
      </c>
      <c r="B291">
        <v>5.85</v>
      </c>
      <c r="C291">
        <v>49.5</v>
      </c>
      <c r="D291">
        <v>7.38</v>
      </c>
    </row>
    <row r="292" spans="1:4" x14ac:dyDescent="0.3">
      <c r="A292">
        <v>2.61</v>
      </c>
      <c r="B292">
        <v>7.52</v>
      </c>
      <c r="C292">
        <v>40.6</v>
      </c>
      <c r="D292">
        <v>10.130000000000001</v>
      </c>
    </row>
    <row r="293" spans="1:4" x14ac:dyDescent="0.3">
      <c r="A293">
        <v>0.54</v>
      </c>
      <c r="B293">
        <v>5.86</v>
      </c>
      <c r="C293">
        <v>66.900000000000006</v>
      </c>
      <c r="D293">
        <v>6.4</v>
      </c>
    </row>
    <row r="294" spans="1:4" x14ac:dyDescent="0.3">
      <c r="A294">
        <v>3.15</v>
      </c>
      <c r="B294">
        <v>5.47</v>
      </c>
      <c r="C294">
        <v>38.6</v>
      </c>
      <c r="D294">
        <v>8.6199999999999992</v>
      </c>
    </row>
    <row r="295" spans="1:4" x14ac:dyDescent="0.3">
      <c r="A295">
        <v>0.81</v>
      </c>
      <c r="B295">
        <v>10.24</v>
      </c>
      <c r="C295">
        <v>34.4</v>
      </c>
      <c r="D295">
        <v>11.05</v>
      </c>
    </row>
    <row r="296" spans="1:4" x14ac:dyDescent="0.3">
      <c r="A296">
        <v>2.65</v>
      </c>
      <c r="B296">
        <v>5.9</v>
      </c>
      <c r="C296">
        <v>47.8</v>
      </c>
      <c r="D296">
        <v>8.5500000000000007</v>
      </c>
    </row>
    <row r="297" spans="1:4" x14ac:dyDescent="0.3">
      <c r="A297">
        <v>0.52</v>
      </c>
      <c r="B297">
        <v>9.84</v>
      </c>
      <c r="C297">
        <v>46.3</v>
      </c>
      <c r="D297">
        <v>10.36</v>
      </c>
    </row>
    <row r="298" spans="1:4" x14ac:dyDescent="0.3">
      <c r="A298">
        <v>0.98</v>
      </c>
      <c r="B298">
        <v>5.84</v>
      </c>
      <c r="C298">
        <v>48.1</v>
      </c>
      <c r="D298">
        <v>6.82</v>
      </c>
    </row>
    <row r="299" spans="1:4" x14ac:dyDescent="0.3">
      <c r="A299">
        <v>1.68</v>
      </c>
      <c r="B299">
        <v>10.95</v>
      </c>
      <c r="C299">
        <v>41.9</v>
      </c>
      <c r="D299">
        <v>12.63</v>
      </c>
    </row>
    <row r="300" spans="1:4" x14ac:dyDescent="0.3">
      <c r="A300">
        <v>1.71</v>
      </c>
      <c r="B300">
        <v>8.36</v>
      </c>
      <c r="C300">
        <v>43.4</v>
      </c>
      <c r="D300">
        <v>10.07</v>
      </c>
    </row>
    <row r="301" spans="1:4" x14ac:dyDescent="0.3">
      <c r="A301">
        <v>1.87</v>
      </c>
      <c r="B301">
        <v>8.57</v>
      </c>
      <c r="C301">
        <v>52.2</v>
      </c>
      <c r="D301">
        <v>10.44</v>
      </c>
    </row>
    <row r="302" spans="1:4" x14ac:dyDescent="0.3">
      <c r="A302">
        <v>1.38</v>
      </c>
      <c r="B302">
        <v>6.39</v>
      </c>
      <c r="C302">
        <v>49.8</v>
      </c>
      <c r="D302">
        <v>7.77</v>
      </c>
    </row>
    <row r="303" spans="1:4" x14ac:dyDescent="0.3">
      <c r="A303">
        <v>2.96</v>
      </c>
      <c r="B303">
        <v>5.49</v>
      </c>
      <c r="C303">
        <v>60.2</v>
      </c>
      <c r="D303">
        <v>8.4499999999999993</v>
      </c>
    </row>
    <row r="304" spans="1:4" x14ac:dyDescent="0.3">
      <c r="A304">
        <v>3.57</v>
      </c>
      <c r="B304">
        <v>4.2</v>
      </c>
      <c r="C304">
        <v>56.6</v>
      </c>
      <c r="D304">
        <v>7.77</v>
      </c>
    </row>
    <row r="305" spans="1:4" x14ac:dyDescent="0.3">
      <c r="A305">
        <v>3.17</v>
      </c>
      <c r="B305">
        <v>5.39</v>
      </c>
      <c r="C305">
        <v>49.7</v>
      </c>
      <c r="D305">
        <v>8.56</v>
      </c>
    </row>
    <row r="306" spans="1:4" x14ac:dyDescent="0.3">
      <c r="A306">
        <v>0.73</v>
      </c>
      <c r="B306">
        <v>4.45</v>
      </c>
      <c r="C306">
        <v>60.8</v>
      </c>
      <c r="D306">
        <v>5.18</v>
      </c>
    </row>
    <row r="307" spans="1:4" x14ac:dyDescent="0.3">
      <c r="A307">
        <v>1.33</v>
      </c>
      <c r="B307">
        <v>8.2200000000000006</v>
      </c>
      <c r="C307">
        <v>49.6</v>
      </c>
      <c r="D307">
        <v>9.5500000000000007</v>
      </c>
    </row>
    <row r="308" spans="1:4" x14ac:dyDescent="0.3">
      <c r="A308">
        <v>1.55</v>
      </c>
      <c r="B308">
        <v>8.18</v>
      </c>
      <c r="C308">
        <v>38.1</v>
      </c>
      <c r="D308">
        <v>9.73</v>
      </c>
    </row>
    <row r="309" spans="1:4" x14ac:dyDescent="0.3">
      <c r="A309">
        <v>1.59</v>
      </c>
      <c r="B309">
        <v>5.12</v>
      </c>
      <c r="C309">
        <v>55.3</v>
      </c>
      <c r="D309">
        <v>6.71</v>
      </c>
    </row>
    <row r="310" spans="1:4" x14ac:dyDescent="0.3">
      <c r="A310">
        <v>1.87</v>
      </c>
      <c r="B310">
        <v>5.3</v>
      </c>
      <c r="C310">
        <v>80.2</v>
      </c>
      <c r="D310">
        <v>7.17</v>
      </c>
    </row>
    <row r="311" spans="1:4" x14ac:dyDescent="0.3">
      <c r="A311">
        <v>0.39</v>
      </c>
      <c r="B311">
        <v>7.38</v>
      </c>
      <c r="C311">
        <v>72.7</v>
      </c>
      <c r="D311">
        <v>7.77</v>
      </c>
    </row>
    <row r="312" spans="1:4" x14ac:dyDescent="0.3">
      <c r="A312">
        <v>3.83</v>
      </c>
      <c r="B312">
        <v>7.88</v>
      </c>
      <c r="C312">
        <v>40.6</v>
      </c>
      <c r="D312">
        <v>11.71</v>
      </c>
    </row>
    <row r="313" spans="1:4" x14ac:dyDescent="0.3">
      <c r="A313">
        <v>0.5</v>
      </c>
      <c r="B313">
        <v>9.52</v>
      </c>
      <c r="C313">
        <v>40.799999999999997</v>
      </c>
      <c r="D313">
        <v>10.02</v>
      </c>
    </row>
    <row r="314" spans="1:4" x14ac:dyDescent="0.3">
      <c r="A314">
        <v>4.99</v>
      </c>
      <c r="B314">
        <v>8.41</v>
      </c>
      <c r="C314">
        <v>43.6</v>
      </c>
      <c r="D314">
        <v>13.4</v>
      </c>
    </row>
    <row r="315" spans="1:4" x14ac:dyDescent="0.3">
      <c r="A315">
        <v>0.45</v>
      </c>
      <c r="B315">
        <v>8.56</v>
      </c>
      <c r="C315">
        <v>63.7</v>
      </c>
      <c r="D315">
        <v>9.01</v>
      </c>
    </row>
    <row r="316" spans="1:4" x14ac:dyDescent="0.3">
      <c r="A316">
        <v>0.28999999999999998</v>
      </c>
      <c r="B316">
        <v>3.35</v>
      </c>
      <c r="C316">
        <v>88.8</v>
      </c>
      <c r="D316">
        <v>3.64</v>
      </c>
    </row>
    <row r="317" spans="1:4" x14ac:dyDescent="0.3">
      <c r="A317">
        <v>0.46</v>
      </c>
      <c r="B317">
        <v>8.7100000000000009</v>
      </c>
      <c r="C317">
        <v>54.7</v>
      </c>
      <c r="D317">
        <v>9.17</v>
      </c>
    </row>
    <row r="318" spans="1:4" x14ac:dyDescent="0.3">
      <c r="A318">
        <v>4.76</v>
      </c>
      <c r="B318">
        <v>6.44</v>
      </c>
      <c r="C318">
        <v>40.799999999999997</v>
      </c>
      <c r="D318">
        <v>11.2</v>
      </c>
    </row>
    <row r="319" spans="1:4" x14ac:dyDescent="0.3">
      <c r="A319">
        <v>1.49</v>
      </c>
      <c r="B319">
        <v>8.2899999999999991</v>
      </c>
      <c r="C319">
        <v>49.5</v>
      </c>
      <c r="D319">
        <v>9.7799999999999994</v>
      </c>
    </row>
    <row r="320" spans="1:4" x14ac:dyDescent="0.3">
      <c r="A320">
        <v>5.53</v>
      </c>
      <c r="B320">
        <v>2.59</v>
      </c>
      <c r="C320">
        <v>52.5</v>
      </c>
      <c r="D320">
        <v>8.1199999999999992</v>
      </c>
    </row>
    <row r="321" spans="1:4" x14ac:dyDescent="0.3">
      <c r="A321">
        <v>3.45</v>
      </c>
      <c r="B321">
        <v>6.16</v>
      </c>
      <c r="C321">
        <v>84</v>
      </c>
      <c r="D321">
        <v>9.61</v>
      </c>
    </row>
    <row r="322" spans="1:4" x14ac:dyDescent="0.3">
      <c r="A322">
        <v>2.0499999999999998</v>
      </c>
      <c r="B322">
        <v>11.03</v>
      </c>
      <c r="C322">
        <v>40.5</v>
      </c>
      <c r="D322">
        <v>13.08</v>
      </c>
    </row>
    <row r="323" spans="1:4" x14ac:dyDescent="0.3">
      <c r="A323">
        <v>2.1800000000000002</v>
      </c>
      <c r="B323">
        <v>8.52</v>
      </c>
      <c r="C323">
        <v>64</v>
      </c>
      <c r="D323">
        <v>10.7</v>
      </c>
    </row>
    <row r="324" spans="1:4" x14ac:dyDescent="0.3">
      <c r="A324">
        <v>6.31</v>
      </c>
      <c r="B324">
        <v>4</v>
      </c>
      <c r="C324">
        <v>38.4</v>
      </c>
      <c r="D324">
        <v>10.31</v>
      </c>
    </row>
    <row r="325" spans="1:4" x14ac:dyDescent="0.3">
      <c r="A325">
        <v>1.33</v>
      </c>
      <c r="B325">
        <v>9.27</v>
      </c>
      <c r="C325">
        <v>62.5</v>
      </c>
      <c r="D325">
        <v>10.6</v>
      </c>
    </row>
    <row r="326" spans="1:4" x14ac:dyDescent="0.3">
      <c r="A326">
        <v>3.99</v>
      </c>
      <c r="B326">
        <v>7.11</v>
      </c>
      <c r="C326">
        <v>57.4</v>
      </c>
      <c r="D326">
        <v>11.1</v>
      </c>
    </row>
    <row r="327" spans="1:4" x14ac:dyDescent="0.3">
      <c r="A327">
        <v>2.4</v>
      </c>
      <c r="B327">
        <v>7.72</v>
      </c>
      <c r="C327">
        <v>47.5</v>
      </c>
      <c r="D327">
        <v>10.119999999999999</v>
      </c>
    </row>
    <row r="328" spans="1:4" x14ac:dyDescent="0.3">
      <c r="A328">
        <v>0.41</v>
      </c>
      <c r="B328">
        <v>6.44</v>
      </c>
      <c r="C328">
        <v>53.8</v>
      </c>
      <c r="D328">
        <v>6.85</v>
      </c>
    </row>
    <row r="329" spans="1:4" x14ac:dyDescent="0.3">
      <c r="A329">
        <v>0.67</v>
      </c>
      <c r="B329">
        <v>9.0500000000000007</v>
      </c>
      <c r="C329">
        <v>44.8</v>
      </c>
      <c r="D329">
        <v>9.7200000000000006</v>
      </c>
    </row>
    <row r="330" spans="1:4" x14ac:dyDescent="0.3">
      <c r="A330">
        <v>2.29</v>
      </c>
      <c r="B330">
        <v>8.31</v>
      </c>
      <c r="C330">
        <v>31.4</v>
      </c>
      <c r="D330">
        <v>10.6</v>
      </c>
    </row>
    <row r="331" spans="1:4" x14ac:dyDescent="0.3">
      <c r="A331">
        <v>0.95</v>
      </c>
      <c r="B331">
        <v>10.59</v>
      </c>
      <c r="C331">
        <v>39.1</v>
      </c>
      <c r="D331">
        <v>11.54</v>
      </c>
    </row>
    <row r="332" spans="1:4" x14ac:dyDescent="0.3">
      <c r="A332">
        <v>2.5</v>
      </c>
      <c r="B332">
        <v>8.7799999999999994</v>
      </c>
      <c r="C332">
        <v>62.5</v>
      </c>
      <c r="D332">
        <v>11.28</v>
      </c>
    </row>
    <row r="333" spans="1:4" x14ac:dyDescent="0.3">
      <c r="A333">
        <v>0.94</v>
      </c>
      <c r="B333">
        <v>7.95</v>
      </c>
      <c r="C333">
        <v>46.3</v>
      </c>
      <c r="D333">
        <v>8.89</v>
      </c>
    </row>
    <row r="334" spans="1:4" x14ac:dyDescent="0.3">
      <c r="A334">
        <v>2.87</v>
      </c>
      <c r="B334">
        <v>6.27</v>
      </c>
      <c r="C334">
        <v>38.4</v>
      </c>
      <c r="D334">
        <v>9.14</v>
      </c>
    </row>
    <row r="335" spans="1:4" x14ac:dyDescent="0.3">
      <c r="A335">
        <v>0.47</v>
      </c>
      <c r="B335">
        <v>8.9600000000000009</v>
      </c>
      <c r="C335">
        <v>54.5</v>
      </c>
      <c r="D335">
        <v>9.43</v>
      </c>
    </row>
    <row r="336" spans="1:4" x14ac:dyDescent="0.3">
      <c r="A336">
        <v>2.68</v>
      </c>
      <c r="B336">
        <v>2.2799999999999998</v>
      </c>
      <c r="C336">
        <v>57.1</v>
      </c>
      <c r="D336">
        <v>4.96</v>
      </c>
    </row>
    <row r="337" spans="1:4" x14ac:dyDescent="0.3">
      <c r="A337">
        <v>1.1100000000000001</v>
      </c>
      <c r="B337">
        <v>3.37</v>
      </c>
      <c r="C337">
        <v>67.099999999999994</v>
      </c>
      <c r="D337">
        <v>4.4800000000000004</v>
      </c>
    </row>
    <row r="338" spans="1:4" x14ac:dyDescent="0.3">
      <c r="A338">
        <v>0.78</v>
      </c>
      <c r="B338">
        <v>5.56</v>
      </c>
      <c r="C338">
        <v>67.5</v>
      </c>
      <c r="D338">
        <v>6.34</v>
      </c>
    </row>
    <row r="339" spans="1:4" x14ac:dyDescent="0.3">
      <c r="A339">
        <v>2.58</v>
      </c>
      <c r="B339">
        <v>7.84</v>
      </c>
      <c r="C339">
        <v>58.2</v>
      </c>
      <c r="D339">
        <v>10.42</v>
      </c>
    </row>
    <row r="340" spans="1:4" x14ac:dyDescent="0.3">
      <c r="A340">
        <v>0.44</v>
      </c>
      <c r="B340">
        <v>6.41</v>
      </c>
      <c r="C340">
        <v>58.6</v>
      </c>
      <c r="D340">
        <v>6.85</v>
      </c>
    </row>
    <row r="341" spans="1:4" x14ac:dyDescent="0.3">
      <c r="A341">
        <v>1.37</v>
      </c>
      <c r="B341">
        <v>8.02</v>
      </c>
      <c r="C341">
        <v>61.3</v>
      </c>
      <c r="D341">
        <v>9.39</v>
      </c>
    </row>
    <row r="342" spans="1:4" x14ac:dyDescent="0.3">
      <c r="A342">
        <v>0.53</v>
      </c>
      <c r="B342">
        <v>6.14</v>
      </c>
      <c r="C342">
        <v>58.6</v>
      </c>
      <c r="D342">
        <v>6.67</v>
      </c>
    </row>
    <row r="343" spans="1:4" x14ac:dyDescent="0.3">
      <c r="A343">
        <v>5.48</v>
      </c>
      <c r="B343">
        <v>4.71</v>
      </c>
      <c r="C343">
        <v>43.7</v>
      </c>
      <c r="D343">
        <v>10.19</v>
      </c>
    </row>
    <row r="344" spans="1:4" x14ac:dyDescent="0.3">
      <c r="A344">
        <v>5.85</v>
      </c>
      <c r="B344">
        <v>7.74</v>
      </c>
      <c r="C344">
        <v>23.2</v>
      </c>
      <c r="D344">
        <v>13.59</v>
      </c>
    </row>
    <row r="345" spans="1:4" x14ac:dyDescent="0.3">
      <c r="A345">
        <v>7.36</v>
      </c>
      <c r="B345">
        <v>6.66</v>
      </c>
      <c r="C345">
        <v>34.1</v>
      </c>
      <c r="D345">
        <v>14.02</v>
      </c>
    </row>
    <row r="346" spans="1:4" x14ac:dyDescent="0.3">
      <c r="A346">
        <v>1.54</v>
      </c>
      <c r="B346">
        <v>5.52</v>
      </c>
      <c r="C346">
        <v>39.799999999999997</v>
      </c>
      <c r="D346">
        <v>7.06</v>
      </c>
    </row>
    <row r="347" spans="1:4" x14ac:dyDescent="0.3">
      <c r="A347">
        <v>2.41</v>
      </c>
      <c r="B347">
        <v>7.46</v>
      </c>
      <c r="C347">
        <v>41.1</v>
      </c>
      <c r="D347">
        <v>9.8699999999999992</v>
      </c>
    </row>
    <row r="348" spans="1:4" x14ac:dyDescent="0.3">
      <c r="A348">
        <v>0.35</v>
      </c>
      <c r="B348">
        <v>6.62</v>
      </c>
      <c r="C348">
        <v>47.3</v>
      </c>
      <c r="D348">
        <v>6.97</v>
      </c>
    </row>
    <row r="349" spans="1:4" x14ac:dyDescent="0.3">
      <c r="A349">
        <v>2.21</v>
      </c>
      <c r="B349">
        <v>9.81</v>
      </c>
      <c r="C349">
        <v>39.700000000000003</v>
      </c>
      <c r="D349">
        <v>12.02</v>
      </c>
    </row>
    <row r="350" spans="1:4" x14ac:dyDescent="0.3">
      <c r="A350">
        <v>0.77</v>
      </c>
      <c r="B350">
        <v>6.13</v>
      </c>
      <c r="C350">
        <v>63</v>
      </c>
      <c r="D350">
        <v>6.9</v>
      </c>
    </row>
    <row r="351" spans="1:4" x14ac:dyDescent="0.3">
      <c r="A351">
        <v>1.57</v>
      </c>
      <c r="B351">
        <v>4.17</v>
      </c>
      <c r="C351">
        <v>84.8</v>
      </c>
      <c r="D351">
        <v>5.74</v>
      </c>
    </row>
    <row r="352" spans="1:4" x14ac:dyDescent="0.3">
      <c r="A352">
        <v>1.43</v>
      </c>
      <c r="B352">
        <v>9.5399999999999991</v>
      </c>
      <c r="C352">
        <v>46</v>
      </c>
      <c r="D352">
        <v>10.97</v>
      </c>
    </row>
    <row r="353" spans="1:4" x14ac:dyDescent="0.3">
      <c r="A353">
        <v>0.51</v>
      </c>
      <c r="B353">
        <v>9.73</v>
      </c>
      <c r="C353">
        <v>36.9</v>
      </c>
      <c r="D353">
        <v>10.24</v>
      </c>
    </row>
    <row r="354" spans="1:4" x14ac:dyDescent="0.3">
      <c r="A354">
        <v>0.94</v>
      </c>
      <c r="B354">
        <v>5.32</v>
      </c>
      <c r="C354">
        <v>67.8</v>
      </c>
      <c r="D354">
        <v>6.26</v>
      </c>
    </row>
    <row r="355" spans="1:4" x14ac:dyDescent="0.3">
      <c r="A355">
        <v>0.75</v>
      </c>
      <c r="B355">
        <v>10.74</v>
      </c>
      <c r="C355">
        <v>30.2</v>
      </c>
      <c r="D355">
        <v>11.49</v>
      </c>
    </row>
    <row r="356" spans="1:4" x14ac:dyDescent="0.3">
      <c r="A356">
        <v>0.52</v>
      </c>
      <c r="B356">
        <v>9.8699999999999992</v>
      </c>
      <c r="C356">
        <v>34.799999999999997</v>
      </c>
      <c r="D356">
        <v>10.39</v>
      </c>
    </row>
    <row r="357" spans="1:4" x14ac:dyDescent="0.3">
      <c r="A357">
        <v>2.36</v>
      </c>
      <c r="B357">
        <v>6.36</v>
      </c>
      <c r="C357">
        <v>39.6</v>
      </c>
      <c r="D357">
        <v>8.7200000000000006</v>
      </c>
    </row>
    <row r="358" spans="1:4" x14ac:dyDescent="0.3">
      <c r="A358">
        <v>5.71</v>
      </c>
      <c r="B358">
        <v>5.87</v>
      </c>
      <c r="C358">
        <v>52.1</v>
      </c>
      <c r="D358">
        <v>11.58</v>
      </c>
    </row>
    <row r="359" spans="1:4" x14ac:dyDescent="0.3">
      <c r="A359">
        <v>1.52</v>
      </c>
      <c r="B359">
        <v>6.21</v>
      </c>
      <c r="C359">
        <v>51.9</v>
      </c>
      <c r="D359">
        <v>7.73</v>
      </c>
    </row>
    <row r="360" spans="1:4" x14ac:dyDescent="0.3">
      <c r="A360">
        <v>6.11</v>
      </c>
      <c r="B360">
        <v>5.53</v>
      </c>
      <c r="C360">
        <v>48.6</v>
      </c>
      <c r="D360">
        <v>11.64</v>
      </c>
    </row>
    <row r="361" spans="1:4" x14ac:dyDescent="0.3">
      <c r="A361">
        <v>2.81</v>
      </c>
      <c r="B361">
        <v>5.25</v>
      </c>
      <c r="C361">
        <v>63.3</v>
      </c>
      <c r="D361">
        <v>8.06</v>
      </c>
    </row>
    <row r="362" spans="1:4" x14ac:dyDescent="0.3">
      <c r="A362">
        <v>3.83</v>
      </c>
      <c r="B362">
        <v>5.22</v>
      </c>
      <c r="C362">
        <v>54.9</v>
      </c>
      <c r="D362">
        <v>9.0500000000000007</v>
      </c>
    </row>
    <row r="363" spans="1:4" x14ac:dyDescent="0.3">
      <c r="A363">
        <v>4.84</v>
      </c>
      <c r="B363">
        <v>7.19</v>
      </c>
      <c r="C363">
        <v>46.8</v>
      </c>
      <c r="D363">
        <v>12.03</v>
      </c>
    </row>
    <row r="364" spans="1:4" x14ac:dyDescent="0.3">
      <c r="A364">
        <v>4.8099999999999996</v>
      </c>
      <c r="B364">
        <v>6.4</v>
      </c>
      <c r="C364">
        <v>34.1</v>
      </c>
      <c r="D364">
        <v>11.21</v>
      </c>
    </row>
    <row r="365" spans="1:4" x14ac:dyDescent="0.3">
      <c r="A365">
        <v>0.81</v>
      </c>
      <c r="B365">
        <v>9.56</v>
      </c>
      <c r="C365">
        <v>45</v>
      </c>
      <c r="D365">
        <v>10.37</v>
      </c>
    </row>
    <row r="366" spans="1:4" x14ac:dyDescent="0.3">
      <c r="A366">
        <v>0.5</v>
      </c>
      <c r="B366">
        <v>5.48</v>
      </c>
      <c r="C366">
        <v>72.5</v>
      </c>
      <c r="D366">
        <v>5.98</v>
      </c>
    </row>
    <row r="367" spans="1:4" x14ac:dyDescent="0.3">
      <c r="A367">
        <v>0.96</v>
      </c>
      <c r="B367">
        <v>6.81</v>
      </c>
      <c r="C367">
        <v>44.3</v>
      </c>
      <c r="D367">
        <v>7.77</v>
      </c>
    </row>
    <row r="368" spans="1:4" x14ac:dyDescent="0.3">
      <c r="A368">
        <v>2.64</v>
      </c>
      <c r="B368">
        <v>7.55</v>
      </c>
      <c r="C368">
        <v>56</v>
      </c>
      <c r="D368">
        <v>10.19</v>
      </c>
    </row>
    <row r="369" spans="1:4" x14ac:dyDescent="0.3">
      <c r="A369">
        <v>5.33</v>
      </c>
      <c r="B369">
        <v>6.28</v>
      </c>
      <c r="C369">
        <v>59.1</v>
      </c>
      <c r="D369">
        <v>11.61</v>
      </c>
    </row>
    <row r="370" spans="1:4" x14ac:dyDescent="0.3">
      <c r="A370">
        <v>0.79</v>
      </c>
      <c r="B370">
        <v>5.24</v>
      </c>
      <c r="C370">
        <v>76.5</v>
      </c>
      <c r="D370">
        <v>6.03</v>
      </c>
    </row>
    <row r="371" spans="1:4" x14ac:dyDescent="0.3">
      <c r="A371">
        <v>0.67</v>
      </c>
      <c r="B371">
        <v>4.33</v>
      </c>
      <c r="C371">
        <v>63</v>
      </c>
      <c r="D371">
        <v>5</v>
      </c>
    </row>
    <row r="372" spans="1:4" x14ac:dyDescent="0.3">
      <c r="A372">
        <v>4.12</v>
      </c>
      <c r="B372">
        <v>5.5</v>
      </c>
      <c r="C372">
        <v>56.5</v>
      </c>
      <c r="D372">
        <v>9.6199999999999992</v>
      </c>
    </row>
    <row r="373" spans="1:4" x14ac:dyDescent="0.3">
      <c r="A373">
        <v>3.21</v>
      </c>
      <c r="B373">
        <v>10.81</v>
      </c>
      <c r="C373">
        <v>47.3</v>
      </c>
      <c r="D373">
        <v>14.02</v>
      </c>
    </row>
    <row r="374" spans="1:4" x14ac:dyDescent="0.3">
      <c r="A374">
        <v>4.54</v>
      </c>
      <c r="B374">
        <v>9.5299999999999994</v>
      </c>
      <c r="C374">
        <v>40.4</v>
      </c>
      <c r="D374">
        <v>14.07</v>
      </c>
    </row>
    <row r="375" spans="1:4" x14ac:dyDescent="0.3">
      <c r="A375">
        <v>1.01</v>
      </c>
      <c r="B375">
        <v>6.4</v>
      </c>
      <c r="C375">
        <v>81</v>
      </c>
      <c r="D375">
        <v>7.41</v>
      </c>
    </row>
    <row r="376" spans="1:4" x14ac:dyDescent="0.3">
      <c r="A376">
        <v>6.7</v>
      </c>
      <c r="B376">
        <v>3.53</v>
      </c>
      <c r="C376">
        <v>33.5</v>
      </c>
      <c r="D376">
        <v>10.23</v>
      </c>
    </row>
    <row r="377" spans="1:4" x14ac:dyDescent="0.3">
      <c r="A377">
        <v>3.97</v>
      </c>
      <c r="B377">
        <v>6.47</v>
      </c>
      <c r="C377">
        <v>50.4</v>
      </c>
      <c r="D377">
        <v>10.44</v>
      </c>
    </row>
    <row r="378" spans="1:4" x14ac:dyDescent="0.3">
      <c r="A378">
        <v>0.4</v>
      </c>
      <c r="B378">
        <v>5.44</v>
      </c>
      <c r="C378">
        <v>43.8</v>
      </c>
      <c r="D378">
        <v>5.84</v>
      </c>
    </row>
    <row r="379" spans="1:4" x14ac:dyDescent="0.3">
      <c r="A379">
        <v>1.94</v>
      </c>
      <c r="B379">
        <v>6.68</v>
      </c>
      <c r="C379">
        <v>49.9</v>
      </c>
      <c r="D379">
        <v>8.6199999999999992</v>
      </c>
    </row>
    <row r="380" spans="1:4" x14ac:dyDescent="0.3">
      <c r="A380">
        <v>3.55</v>
      </c>
      <c r="B380">
        <v>6.79</v>
      </c>
      <c r="C380">
        <v>32.799999999999997</v>
      </c>
      <c r="D380">
        <v>10.34</v>
      </c>
    </row>
    <row r="381" spans="1:4" x14ac:dyDescent="0.3">
      <c r="A381">
        <v>1.05</v>
      </c>
      <c r="B381">
        <v>9.42</v>
      </c>
      <c r="C381">
        <v>50.4</v>
      </c>
      <c r="D381">
        <v>10.47</v>
      </c>
    </row>
    <row r="382" spans="1:4" x14ac:dyDescent="0.3">
      <c r="A382">
        <v>6.19</v>
      </c>
      <c r="B382">
        <v>5.6</v>
      </c>
      <c r="C382">
        <v>36.5</v>
      </c>
      <c r="D382">
        <v>11.79</v>
      </c>
    </row>
    <row r="383" spans="1:4" x14ac:dyDescent="0.3">
      <c r="A383">
        <v>1.21</v>
      </c>
      <c r="B383">
        <v>6.28</v>
      </c>
      <c r="C383">
        <v>51.2</v>
      </c>
      <c r="D383">
        <v>7.49</v>
      </c>
    </row>
    <row r="384" spans="1:4" x14ac:dyDescent="0.3">
      <c r="A384">
        <v>0.84</v>
      </c>
      <c r="B384">
        <v>9.91</v>
      </c>
      <c r="C384">
        <v>34.4</v>
      </c>
      <c r="D384">
        <v>10.75</v>
      </c>
    </row>
    <row r="385" spans="1:4" x14ac:dyDescent="0.3">
      <c r="A385">
        <v>4.21</v>
      </c>
      <c r="B385">
        <v>6.76</v>
      </c>
      <c r="C385">
        <v>38.799999999999997</v>
      </c>
      <c r="D385">
        <v>10.97</v>
      </c>
    </row>
    <row r="386" spans="1:4" x14ac:dyDescent="0.3">
      <c r="A386">
        <v>6.2</v>
      </c>
      <c r="B386">
        <v>7.8</v>
      </c>
      <c r="C386">
        <v>43.5</v>
      </c>
      <c r="D386">
        <v>14</v>
      </c>
    </row>
    <row r="387" spans="1:4" x14ac:dyDescent="0.3">
      <c r="A387">
        <v>2.99</v>
      </c>
      <c r="B387">
        <v>3.44</v>
      </c>
      <c r="C387">
        <v>64.599999999999994</v>
      </c>
      <c r="D387">
        <v>6.43</v>
      </c>
    </row>
    <row r="388" spans="1:4" x14ac:dyDescent="0.3">
      <c r="A388">
        <v>5.44</v>
      </c>
      <c r="B388">
        <v>4.1500000000000004</v>
      </c>
      <c r="C388">
        <v>47.4</v>
      </c>
      <c r="D388">
        <v>9.59</v>
      </c>
    </row>
    <row r="389" spans="1:4" x14ac:dyDescent="0.3">
      <c r="A389">
        <v>2.36</v>
      </c>
      <c r="B389">
        <v>6.36</v>
      </c>
      <c r="C389">
        <v>57.3</v>
      </c>
      <c r="D389">
        <v>8.7200000000000006</v>
      </c>
    </row>
    <row r="390" spans="1:4" x14ac:dyDescent="0.3">
      <c r="A390">
        <v>0.94</v>
      </c>
      <c r="B390">
        <v>4.0999999999999996</v>
      </c>
      <c r="C390">
        <v>63.6</v>
      </c>
      <c r="D390">
        <v>5.04</v>
      </c>
    </row>
    <row r="391" spans="1:4" x14ac:dyDescent="0.3">
      <c r="A391">
        <v>3.82</v>
      </c>
      <c r="B391">
        <v>5.04</v>
      </c>
      <c r="C391">
        <v>41.4</v>
      </c>
      <c r="D391">
        <v>8.86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C7CC-DFF4-47F2-BD60-835D0D296300}">
  <dimension ref="A1:P401"/>
  <sheetViews>
    <sheetView tabSelected="1" topLeftCell="Q3" zoomScale="140" zoomScaleNormal="140" workbookViewId="0">
      <selection activeCell="AR34" sqref="AR34"/>
    </sheetView>
  </sheetViews>
  <sheetFormatPr defaultRowHeight="14" x14ac:dyDescent="0.3"/>
  <cols>
    <col min="1" max="1" width="11" customWidth="1"/>
    <col min="2" max="2" width="6.25" bestFit="1" customWidth="1"/>
    <col min="3" max="3" width="15" bestFit="1" customWidth="1"/>
    <col min="4" max="4" width="21.25" bestFit="1" customWidth="1"/>
    <col min="5" max="5" width="29.83203125" bestFit="1" customWidth="1"/>
    <col min="9" max="9" width="13.25" bestFit="1" customWidth="1"/>
    <col min="10" max="10" width="12.83203125" customWidth="1"/>
    <col min="11" max="11" width="5" bestFit="1" customWidth="1"/>
    <col min="12" max="12" width="7.75" customWidth="1"/>
    <col min="13" max="13" width="10.75" customWidth="1"/>
    <col min="14" max="14" width="8.4140625" customWidth="1"/>
    <col min="15" max="15" width="11.1640625" customWidth="1"/>
    <col min="16" max="16" width="11.25" customWidth="1"/>
    <col min="17" max="24" width="5" bestFit="1" customWidth="1"/>
    <col min="25" max="25" width="3" bestFit="1" customWidth="1"/>
    <col min="26" max="33" width="5" bestFit="1" customWidth="1"/>
    <col min="34" max="34" width="3" bestFit="1" customWidth="1"/>
    <col min="35" max="39" width="5" bestFit="1" customWidth="1"/>
    <col min="40" max="40" width="3" bestFit="1" customWidth="1"/>
    <col min="41" max="44" width="5" bestFit="1" customWidth="1"/>
    <col min="45" max="45" width="3" bestFit="1" customWidth="1"/>
    <col min="46" max="62" width="5" bestFit="1" customWidth="1"/>
    <col min="63" max="63" width="3" bestFit="1" customWidth="1"/>
    <col min="64" max="73" width="5" bestFit="1" customWidth="1"/>
    <col min="74" max="74" width="3" bestFit="1" customWidth="1"/>
    <col min="75" max="81" width="5" bestFit="1" customWidth="1"/>
    <col min="82" max="82" width="3" bestFit="1" customWidth="1"/>
    <col min="83" max="89" width="5" bestFit="1" customWidth="1"/>
    <col min="90" max="90" width="3" bestFit="1" customWidth="1"/>
    <col min="91" max="95" width="5" bestFit="1" customWidth="1"/>
    <col min="96" max="96" width="3" bestFit="1" customWidth="1"/>
    <col min="97" max="101" width="5" bestFit="1" customWidth="1"/>
    <col min="102" max="102" width="3" bestFit="1" customWidth="1"/>
    <col min="103" max="116" width="5" bestFit="1" customWidth="1"/>
    <col min="117" max="117" width="3" bestFit="1" customWidth="1"/>
    <col min="118" max="129" width="5" bestFit="1" customWidth="1"/>
    <col min="130" max="130" width="3" bestFit="1" customWidth="1"/>
    <col min="131" max="139" width="5" bestFit="1" customWidth="1"/>
    <col min="140" max="140" width="3" bestFit="1" customWidth="1"/>
    <col min="141" max="152" width="5" bestFit="1" customWidth="1"/>
    <col min="153" max="153" width="3" bestFit="1" customWidth="1"/>
    <col min="154" max="164" width="5" bestFit="1" customWidth="1"/>
    <col min="165" max="165" width="3" bestFit="1" customWidth="1"/>
    <col min="166" max="172" width="5" bestFit="1" customWidth="1"/>
    <col min="173" max="173" width="3" bestFit="1" customWidth="1"/>
    <col min="174" max="183" width="5" bestFit="1" customWidth="1"/>
    <col min="184" max="184" width="3" bestFit="1" customWidth="1"/>
    <col min="185" max="188" width="5" bestFit="1" customWidth="1"/>
    <col min="189" max="189" width="3" bestFit="1" customWidth="1"/>
    <col min="190" max="205" width="5" bestFit="1" customWidth="1"/>
    <col min="206" max="206" width="3" bestFit="1" customWidth="1"/>
    <col min="207" max="209" width="5" bestFit="1" customWidth="1"/>
    <col min="210" max="210" width="3" bestFit="1" customWidth="1"/>
    <col min="211" max="244" width="5" bestFit="1" customWidth="1"/>
    <col min="245" max="245" width="3" bestFit="1" customWidth="1"/>
    <col min="246" max="247" width="5" bestFit="1" customWidth="1"/>
    <col min="248" max="248" width="3" bestFit="1" customWidth="1"/>
    <col min="249" max="259" width="5" bestFit="1" customWidth="1"/>
    <col min="260" max="261" width="3" bestFit="1" customWidth="1"/>
    <col min="262" max="265" width="5" bestFit="1" customWidth="1"/>
    <col min="266" max="266" width="3" bestFit="1" customWidth="1"/>
    <col min="267" max="268" width="5" bestFit="1" customWidth="1"/>
    <col min="269" max="269" width="3" bestFit="1" customWidth="1"/>
    <col min="270" max="273" width="5" bestFit="1" customWidth="1"/>
    <col min="274" max="275" width="3" bestFit="1" customWidth="1"/>
    <col min="276" max="281" width="5" bestFit="1" customWidth="1"/>
    <col min="282" max="282" width="3" bestFit="1" customWidth="1"/>
    <col min="283" max="284" width="5" bestFit="1" customWidth="1"/>
    <col min="285" max="285" width="4" bestFit="1" customWidth="1"/>
    <col min="286" max="286" width="11.25" bestFit="1" customWidth="1"/>
    <col min="287" max="287" width="5.83203125" bestFit="1" customWidth="1"/>
    <col min="288" max="288" width="8.83203125" bestFit="1" customWidth="1"/>
    <col min="289" max="291" width="5.83203125" bestFit="1" customWidth="1"/>
    <col min="292" max="292" width="8.83203125" bestFit="1" customWidth="1"/>
    <col min="293" max="295" width="5.83203125" bestFit="1" customWidth="1"/>
    <col min="296" max="296" width="8.83203125" bestFit="1" customWidth="1"/>
    <col min="297" max="300" width="5.83203125" bestFit="1" customWidth="1"/>
    <col min="301" max="301" width="8.83203125" bestFit="1" customWidth="1"/>
    <col min="302" max="302" width="5.83203125" bestFit="1" customWidth="1"/>
    <col min="303" max="303" width="8.83203125" bestFit="1" customWidth="1"/>
    <col min="304" max="304" width="5.83203125" bestFit="1" customWidth="1"/>
    <col min="305" max="305" width="8.83203125" bestFit="1" customWidth="1"/>
    <col min="306" max="306" width="5.83203125" bestFit="1" customWidth="1"/>
    <col min="307" max="307" width="8.83203125" bestFit="1" customWidth="1"/>
    <col min="308" max="309" width="5.83203125" bestFit="1" customWidth="1"/>
    <col min="310" max="310" width="8.83203125" bestFit="1" customWidth="1"/>
    <col min="311" max="312" width="5.83203125" bestFit="1" customWidth="1"/>
    <col min="313" max="313" width="8.83203125" bestFit="1" customWidth="1"/>
    <col min="314" max="315" width="5.83203125" bestFit="1" customWidth="1"/>
    <col min="316" max="316" width="8.83203125" bestFit="1" customWidth="1"/>
    <col min="317" max="319" width="5.83203125" bestFit="1" customWidth="1"/>
    <col min="320" max="320" width="8.83203125" bestFit="1" customWidth="1"/>
    <col min="321" max="321" width="5.83203125" bestFit="1" customWidth="1"/>
    <col min="322" max="322" width="8.83203125" bestFit="1" customWidth="1"/>
    <col min="323" max="325" width="5.83203125" bestFit="1" customWidth="1"/>
    <col min="326" max="326" width="8.83203125" bestFit="1" customWidth="1"/>
    <col min="327" max="329" width="5.83203125" bestFit="1" customWidth="1"/>
    <col min="330" max="330" width="8.83203125" bestFit="1" customWidth="1"/>
    <col min="331" max="334" width="5.83203125" bestFit="1" customWidth="1"/>
    <col min="335" max="335" width="8.83203125" bestFit="1" customWidth="1"/>
    <col min="336" max="338" width="5.83203125" bestFit="1" customWidth="1"/>
    <col min="339" max="339" width="8.83203125" bestFit="1" customWidth="1"/>
    <col min="340" max="340" width="5.83203125" bestFit="1" customWidth="1"/>
    <col min="341" max="341" width="8.83203125" bestFit="1" customWidth="1"/>
    <col min="342" max="343" width="5.83203125" bestFit="1" customWidth="1"/>
    <col min="344" max="344" width="8.83203125" bestFit="1" customWidth="1"/>
    <col min="345" max="346" width="5.83203125" bestFit="1" customWidth="1"/>
    <col min="347" max="347" width="8.83203125" bestFit="1" customWidth="1"/>
    <col min="348" max="348" width="5.83203125" bestFit="1" customWidth="1"/>
    <col min="349" max="349" width="8.83203125" bestFit="1" customWidth="1"/>
    <col min="350" max="350" width="5.83203125" bestFit="1" customWidth="1"/>
    <col min="351" max="351" width="8.83203125" bestFit="1" customWidth="1"/>
    <col min="352" max="354" width="5.83203125" bestFit="1" customWidth="1"/>
    <col min="355" max="355" width="8.83203125" bestFit="1" customWidth="1"/>
    <col min="356" max="356" width="5.83203125" bestFit="1" customWidth="1"/>
    <col min="357" max="357" width="8.83203125" bestFit="1" customWidth="1"/>
    <col min="358" max="358" width="5.83203125" bestFit="1" customWidth="1"/>
    <col min="359" max="359" width="8.83203125" bestFit="1" customWidth="1"/>
    <col min="360" max="362" width="5.83203125" bestFit="1" customWidth="1"/>
    <col min="363" max="363" width="8.83203125" bestFit="1" customWidth="1"/>
    <col min="364" max="364" width="5.83203125" bestFit="1" customWidth="1"/>
    <col min="365" max="365" width="8.83203125" bestFit="1" customWidth="1"/>
    <col min="366" max="369" width="5.83203125" bestFit="1" customWidth="1"/>
    <col min="370" max="370" width="8.83203125" bestFit="1" customWidth="1"/>
    <col min="371" max="371" width="5.83203125" bestFit="1" customWidth="1"/>
    <col min="372" max="372" width="8.83203125" bestFit="1" customWidth="1"/>
    <col min="373" max="373" width="5.83203125" bestFit="1" customWidth="1"/>
    <col min="374" max="374" width="8.83203125" bestFit="1" customWidth="1"/>
    <col min="375" max="375" width="5.83203125" bestFit="1" customWidth="1"/>
    <col min="376" max="376" width="8.83203125" bestFit="1" customWidth="1"/>
    <col min="377" max="377" width="5.83203125" bestFit="1" customWidth="1"/>
    <col min="378" max="378" width="8.83203125" bestFit="1" customWidth="1"/>
    <col min="379" max="380" width="5.83203125" bestFit="1" customWidth="1"/>
    <col min="381" max="381" width="8.83203125" bestFit="1" customWidth="1"/>
    <col min="382" max="383" width="5.83203125" bestFit="1" customWidth="1"/>
    <col min="384" max="384" width="8.83203125" bestFit="1" customWidth="1"/>
    <col min="385" max="388" width="5.83203125" bestFit="1" customWidth="1"/>
    <col min="389" max="389" width="8.83203125" bestFit="1" customWidth="1"/>
    <col min="390" max="390" width="5.83203125" bestFit="1" customWidth="1"/>
    <col min="391" max="391" width="8.83203125" bestFit="1" customWidth="1"/>
    <col min="392" max="395" width="5.83203125" bestFit="1" customWidth="1"/>
    <col min="396" max="396" width="8.83203125" bestFit="1" customWidth="1"/>
    <col min="397" max="397" width="5.83203125" bestFit="1" customWidth="1"/>
    <col min="398" max="398" width="8.83203125" bestFit="1" customWidth="1"/>
    <col min="399" max="400" width="5.83203125" bestFit="1" customWidth="1"/>
    <col min="401" max="401" width="8.83203125" bestFit="1" customWidth="1"/>
    <col min="402" max="402" width="5.83203125" bestFit="1" customWidth="1"/>
    <col min="403" max="403" width="8.83203125" bestFit="1" customWidth="1"/>
    <col min="404" max="405" width="5.83203125" bestFit="1" customWidth="1"/>
    <col min="406" max="406" width="8.83203125" bestFit="1" customWidth="1"/>
    <col min="407" max="410" width="5.83203125" bestFit="1" customWidth="1"/>
    <col min="411" max="411" width="8.83203125" bestFit="1" customWidth="1"/>
    <col min="412" max="413" width="5.83203125" bestFit="1" customWidth="1"/>
    <col min="414" max="414" width="8.83203125" bestFit="1" customWidth="1"/>
    <col min="415" max="415" width="5.83203125" bestFit="1" customWidth="1"/>
    <col min="416" max="416" width="8.83203125" bestFit="1" customWidth="1"/>
    <col min="417" max="419" width="5.83203125" bestFit="1" customWidth="1"/>
    <col min="420" max="420" width="8.83203125" bestFit="1" customWidth="1"/>
    <col min="421" max="421" width="5.83203125" bestFit="1" customWidth="1"/>
    <col min="422" max="422" width="8.83203125" bestFit="1" customWidth="1"/>
    <col min="423" max="424" width="5.83203125" bestFit="1" customWidth="1"/>
    <col min="425" max="425" width="8.83203125" bestFit="1" customWidth="1"/>
    <col min="426" max="427" width="5.83203125" bestFit="1" customWidth="1"/>
    <col min="428" max="428" width="8.83203125" bestFit="1" customWidth="1"/>
    <col min="429" max="432" width="5.83203125" bestFit="1" customWidth="1"/>
    <col min="433" max="433" width="8.83203125" bestFit="1" customWidth="1"/>
    <col min="434" max="435" width="5.83203125" bestFit="1" customWidth="1"/>
    <col min="436" max="436" width="8.83203125" bestFit="1" customWidth="1"/>
    <col min="437" max="438" width="5.83203125" bestFit="1" customWidth="1"/>
    <col min="439" max="439" width="8.83203125" bestFit="1" customWidth="1"/>
    <col min="440" max="440" width="5.83203125" bestFit="1" customWidth="1"/>
    <col min="441" max="441" width="8.83203125" bestFit="1" customWidth="1"/>
    <col min="442" max="443" width="5.83203125" bestFit="1" customWidth="1"/>
    <col min="444" max="444" width="8.83203125" bestFit="1" customWidth="1"/>
    <col min="445" max="445" width="5.83203125" bestFit="1" customWidth="1"/>
    <col min="446" max="446" width="8.83203125" bestFit="1" customWidth="1"/>
    <col min="447" max="448" width="5.83203125" bestFit="1" customWidth="1"/>
    <col min="449" max="449" width="8.83203125" bestFit="1" customWidth="1"/>
    <col min="450" max="450" width="5.83203125" bestFit="1" customWidth="1"/>
    <col min="451" max="451" width="8.83203125" bestFit="1" customWidth="1"/>
    <col min="452" max="453" width="5.83203125" bestFit="1" customWidth="1"/>
    <col min="454" max="454" width="8.83203125" bestFit="1" customWidth="1"/>
    <col min="455" max="456" width="5.83203125" bestFit="1" customWidth="1"/>
    <col min="457" max="457" width="8.83203125" bestFit="1" customWidth="1"/>
    <col min="458" max="460" width="5.83203125" bestFit="1" customWidth="1"/>
    <col min="461" max="461" width="8.83203125" bestFit="1" customWidth="1"/>
    <col min="462" max="464" width="5.83203125" bestFit="1" customWidth="1"/>
    <col min="465" max="465" width="8.83203125" bestFit="1" customWidth="1"/>
    <col min="466" max="466" width="5.83203125" bestFit="1" customWidth="1"/>
    <col min="467" max="467" width="8.83203125" bestFit="1" customWidth="1"/>
    <col min="468" max="468" width="5.83203125" bestFit="1" customWidth="1"/>
    <col min="469" max="469" width="8.83203125" bestFit="1" customWidth="1"/>
    <col min="470" max="472" width="5.83203125" bestFit="1" customWidth="1"/>
    <col min="473" max="473" width="8.83203125" bestFit="1" customWidth="1"/>
    <col min="474" max="476" width="5.83203125" bestFit="1" customWidth="1"/>
    <col min="477" max="477" width="8.83203125" bestFit="1" customWidth="1"/>
    <col min="478" max="478" width="5.83203125" bestFit="1" customWidth="1"/>
    <col min="479" max="479" width="8.83203125" bestFit="1" customWidth="1"/>
    <col min="480" max="480" width="5.83203125" bestFit="1" customWidth="1"/>
    <col min="481" max="481" width="8.83203125" bestFit="1" customWidth="1"/>
    <col min="482" max="483" width="5.83203125" bestFit="1" customWidth="1"/>
    <col min="484" max="484" width="8.83203125" bestFit="1" customWidth="1"/>
    <col min="485" max="485" width="5.83203125" bestFit="1" customWidth="1"/>
    <col min="486" max="486" width="8.83203125" bestFit="1" customWidth="1"/>
    <col min="487" max="487" width="5.83203125" bestFit="1" customWidth="1"/>
    <col min="488" max="488" width="8.83203125" bestFit="1" customWidth="1"/>
    <col min="489" max="489" width="5.83203125" bestFit="1" customWidth="1"/>
    <col min="490" max="490" width="8.83203125" bestFit="1" customWidth="1"/>
    <col min="491" max="491" width="5.83203125" bestFit="1" customWidth="1"/>
    <col min="492" max="492" width="8.83203125" bestFit="1" customWidth="1"/>
    <col min="493" max="493" width="5.83203125" bestFit="1" customWidth="1"/>
    <col min="494" max="494" width="8.83203125" bestFit="1" customWidth="1"/>
    <col min="495" max="495" width="5.83203125" bestFit="1" customWidth="1"/>
    <col min="496" max="496" width="8.83203125" bestFit="1" customWidth="1"/>
    <col min="497" max="497" width="5.83203125" bestFit="1" customWidth="1"/>
    <col min="498" max="498" width="8.83203125" bestFit="1" customWidth="1"/>
    <col min="499" max="499" width="5.83203125" bestFit="1" customWidth="1"/>
    <col min="500" max="500" width="8.83203125" bestFit="1" customWidth="1"/>
    <col min="501" max="502" width="5.83203125" bestFit="1" customWidth="1"/>
    <col min="503" max="503" width="8.83203125" bestFit="1" customWidth="1"/>
    <col min="504" max="506" width="5.83203125" bestFit="1" customWidth="1"/>
    <col min="507" max="507" width="8.83203125" bestFit="1" customWidth="1"/>
    <col min="508" max="508" width="5.83203125" bestFit="1" customWidth="1"/>
    <col min="509" max="509" width="8.83203125" bestFit="1" customWidth="1"/>
    <col min="510" max="510" width="5.83203125" bestFit="1" customWidth="1"/>
    <col min="511" max="511" width="8.83203125" bestFit="1" customWidth="1"/>
    <col min="512" max="513" width="5.83203125" bestFit="1" customWidth="1"/>
    <col min="514" max="514" width="8.83203125" bestFit="1" customWidth="1"/>
    <col min="515" max="515" width="5.83203125" bestFit="1" customWidth="1"/>
    <col min="516" max="516" width="8.83203125" bestFit="1" customWidth="1"/>
    <col min="517" max="518" width="5.83203125" bestFit="1" customWidth="1"/>
    <col min="519" max="519" width="8.83203125" bestFit="1" customWidth="1"/>
    <col min="520" max="520" width="5.83203125" bestFit="1" customWidth="1"/>
    <col min="521" max="521" width="8.83203125" bestFit="1" customWidth="1"/>
    <col min="522" max="522" width="5.83203125" bestFit="1" customWidth="1"/>
    <col min="523" max="523" width="8.83203125" bestFit="1" customWidth="1"/>
    <col min="524" max="525" width="5.83203125" bestFit="1" customWidth="1"/>
    <col min="526" max="526" width="8.83203125" bestFit="1" customWidth="1"/>
    <col min="527" max="528" width="5.83203125" bestFit="1" customWidth="1"/>
    <col min="529" max="529" width="8.83203125" bestFit="1" customWidth="1"/>
    <col min="530" max="532" width="5.83203125" bestFit="1" customWidth="1"/>
    <col min="533" max="533" width="8.83203125" bestFit="1" customWidth="1"/>
    <col min="534" max="534" width="5.83203125" bestFit="1" customWidth="1"/>
    <col min="535" max="535" width="8.83203125" bestFit="1" customWidth="1"/>
    <col min="536" max="536" width="5.83203125" bestFit="1" customWidth="1"/>
    <col min="537" max="537" width="8.83203125" bestFit="1" customWidth="1"/>
    <col min="538" max="538" width="5.83203125" bestFit="1" customWidth="1"/>
    <col min="539" max="539" width="8.83203125" bestFit="1" customWidth="1"/>
    <col min="540" max="541" width="5.83203125" bestFit="1" customWidth="1"/>
    <col min="542" max="542" width="8.83203125" bestFit="1" customWidth="1"/>
    <col min="543" max="543" width="5.83203125" bestFit="1" customWidth="1"/>
    <col min="544" max="544" width="8.83203125" bestFit="1" customWidth="1"/>
    <col min="545" max="545" width="5.83203125" bestFit="1" customWidth="1"/>
    <col min="546" max="546" width="8.83203125" bestFit="1" customWidth="1"/>
    <col min="547" max="548" width="5.83203125" bestFit="1" customWidth="1"/>
    <col min="549" max="549" width="8.83203125" bestFit="1" customWidth="1"/>
    <col min="550" max="550" width="5.83203125" bestFit="1" customWidth="1"/>
    <col min="551" max="551" width="8.83203125" bestFit="1" customWidth="1"/>
    <col min="552" max="552" width="5.83203125" bestFit="1" customWidth="1"/>
    <col min="553" max="553" width="8.83203125" bestFit="1" customWidth="1"/>
    <col min="554" max="555" width="5.83203125" bestFit="1" customWidth="1"/>
    <col min="556" max="556" width="8.83203125" bestFit="1" customWidth="1"/>
    <col min="557" max="557" width="5.83203125" bestFit="1" customWidth="1"/>
    <col min="558" max="558" width="8.83203125" bestFit="1" customWidth="1"/>
    <col min="559" max="559" width="5.83203125" bestFit="1" customWidth="1"/>
    <col min="560" max="560" width="8.83203125" bestFit="1" customWidth="1"/>
    <col min="561" max="561" width="5.83203125" bestFit="1" customWidth="1"/>
    <col min="562" max="562" width="8.83203125" bestFit="1" customWidth="1"/>
    <col min="563" max="563" width="5.83203125" bestFit="1" customWidth="1"/>
    <col min="564" max="564" width="8.83203125" bestFit="1" customWidth="1"/>
    <col min="565" max="565" width="5.83203125" bestFit="1" customWidth="1"/>
    <col min="566" max="566" width="8.83203125" bestFit="1" customWidth="1"/>
    <col min="567" max="567" width="5.83203125" bestFit="1" customWidth="1"/>
    <col min="568" max="568" width="8.83203125" bestFit="1" customWidth="1"/>
    <col min="569" max="569" width="5.83203125" bestFit="1" customWidth="1"/>
    <col min="570" max="570" width="8.83203125" bestFit="1" customWidth="1"/>
    <col min="571" max="571" width="5.83203125" bestFit="1" customWidth="1"/>
    <col min="572" max="572" width="8.83203125" bestFit="1" customWidth="1"/>
    <col min="573" max="573" width="5.83203125" bestFit="1" customWidth="1"/>
    <col min="574" max="574" width="8.83203125" bestFit="1" customWidth="1"/>
    <col min="575" max="575" width="5.83203125" bestFit="1" customWidth="1"/>
    <col min="576" max="576" width="8.83203125" bestFit="1" customWidth="1"/>
    <col min="577" max="579" width="5.83203125" bestFit="1" customWidth="1"/>
    <col min="580" max="580" width="8.83203125" bestFit="1" customWidth="1"/>
    <col min="581" max="581" width="5.83203125" bestFit="1" customWidth="1"/>
    <col min="582" max="582" width="8.83203125" bestFit="1" customWidth="1"/>
    <col min="583" max="583" width="5.83203125" bestFit="1" customWidth="1"/>
    <col min="584" max="584" width="8.83203125" bestFit="1" customWidth="1"/>
    <col min="585" max="585" width="5.83203125" bestFit="1" customWidth="1"/>
    <col min="586" max="586" width="8.83203125" bestFit="1" customWidth="1"/>
    <col min="587" max="587" width="5.83203125" bestFit="1" customWidth="1"/>
    <col min="588" max="588" width="8.83203125" bestFit="1" customWidth="1"/>
    <col min="589" max="589" width="5.83203125" bestFit="1" customWidth="1"/>
    <col min="590" max="590" width="8.83203125" bestFit="1" customWidth="1"/>
    <col min="591" max="591" width="5.83203125" bestFit="1" customWidth="1"/>
    <col min="592" max="592" width="8.83203125" bestFit="1" customWidth="1"/>
    <col min="593" max="593" width="5.83203125" bestFit="1" customWidth="1"/>
    <col min="594" max="594" width="8.83203125" bestFit="1" customWidth="1"/>
    <col min="595" max="595" width="5.83203125" bestFit="1" customWidth="1"/>
    <col min="596" max="596" width="8.83203125" bestFit="1" customWidth="1"/>
    <col min="597" max="597" width="5.83203125" bestFit="1" customWidth="1"/>
    <col min="598" max="598" width="8.83203125" bestFit="1" customWidth="1"/>
    <col min="599" max="599" width="5.83203125" bestFit="1" customWidth="1"/>
    <col min="600" max="600" width="8.83203125" bestFit="1" customWidth="1"/>
    <col min="601" max="601" width="5.83203125" bestFit="1" customWidth="1"/>
    <col min="602" max="602" width="8.83203125" bestFit="1" customWidth="1"/>
    <col min="603" max="603" width="11.25" bestFit="1" customWidth="1"/>
    <col min="604" max="604" width="6.83203125" bestFit="1" customWidth="1"/>
    <col min="605" max="605" width="9.25" bestFit="1" customWidth="1"/>
    <col min="606" max="606" width="6.83203125" bestFit="1" customWidth="1"/>
    <col min="607" max="607" width="9.25" bestFit="1" customWidth="1"/>
    <col min="608" max="609" width="6.83203125" bestFit="1" customWidth="1"/>
    <col min="610" max="610" width="9.25" bestFit="1" customWidth="1"/>
    <col min="611" max="611" width="6.83203125" bestFit="1" customWidth="1"/>
    <col min="612" max="612" width="9.25" bestFit="1" customWidth="1"/>
    <col min="613" max="614" width="6.83203125" bestFit="1" customWidth="1"/>
    <col min="615" max="615" width="9.25" bestFit="1" customWidth="1"/>
    <col min="616" max="616" width="6.83203125" bestFit="1" customWidth="1"/>
    <col min="617" max="617" width="9.25" bestFit="1" customWidth="1"/>
    <col min="618" max="618" width="6.83203125" bestFit="1" customWidth="1"/>
    <col min="619" max="619" width="9.25" bestFit="1" customWidth="1"/>
    <col min="620" max="620" width="6.83203125" bestFit="1" customWidth="1"/>
    <col min="621" max="621" width="9.25" bestFit="1" customWidth="1"/>
    <col min="622" max="622" width="6.83203125" bestFit="1" customWidth="1"/>
    <col min="623" max="623" width="9.25" bestFit="1" customWidth="1"/>
    <col min="624" max="624" width="4.83203125" bestFit="1" customWidth="1"/>
    <col min="625" max="625" width="7.83203125" bestFit="1" customWidth="1"/>
    <col min="626" max="627" width="4.83203125" bestFit="1" customWidth="1"/>
    <col min="628" max="628" width="7.83203125" bestFit="1" customWidth="1"/>
    <col min="629" max="630" width="6.83203125" bestFit="1" customWidth="1"/>
    <col min="631" max="631" width="9.25" bestFit="1" customWidth="1"/>
    <col min="632" max="633" width="6.83203125" bestFit="1" customWidth="1"/>
    <col min="634" max="634" width="9.25" bestFit="1" customWidth="1"/>
    <col min="635" max="635" width="6.83203125" bestFit="1" customWidth="1"/>
    <col min="636" max="636" width="9.25" bestFit="1" customWidth="1"/>
    <col min="637" max="637" width="6.83203125" bestFit="1" customWidth="1"/>
    <col min="638" max="638" width="9.25" bestFit="1" customWidth="1"/>
    <col min="639" max="640" width="4.83203125" bestFit="1" customWidth="1"/>
    <col min="641" max="641" width="7.83203125" bestFit="1" customWidth="1"/>
    <col min="642" max="642" width="6.83203125" bestFit="1" customWidth="1"/>
    <col min="643" max="643" width="9.25" bestFit="1" customWidth="1"/>
    <col min="644" max="644" width="6.83203125" bestFit="1" customWidth="1"/>
    <col min="645" max="645" width="9.25" bestFit="1" customWidth="1"/>
    <col min="646" max="646" width="4.83203125" bestFit="1" customWidth="1"/>
    <col min="647" max="647" width="7.83203125" bestFit="1" customWidth="1"/>
    <col min="648" max="648" width="6.83203125" bestFit="1" customWidth="1"/>
    <col min="649" max="649" width="9.25" bestFit="1" customWidth="1"/>
    <col min="650" max="650" width="6.83203125" bestFit="1" customWidth="1"/>
    <col min="651" max="651" width="9.25" bestFit="1" customWidth="1"/>
    <col min="652" max="652" width="6.83203125" bestFit="1" customWidth="1"/>
    <col min="653" max="653" width="9.25" bestFit="1" customWidth="1"/>
    <col min="654" max="654" width="6.83203125" bestFit="1" customWidth="1"/>
    <col min="655" max="655" width="9.25" bestFit="1" customWidth="1"/>
    <col min="656" max="656" width="4.83203125" bestFit="1" customWidth="1"/>
    <col min="657" max="657" width="7.83203125" bestFit="1" customWidth="1"/>
    <col min="658" max="658" width="4.83203125" bestFit="1" customWidth="1"/>
    <col min="659" max="659" width="7.83203125" bestFit="1" customWidth="1"/>
    <col min="660" max="660" width="6.83203125" bestFit="1" customWidth="1"/>
    <col min="661" max="661" width="9.25" bestFit="1" customWidth="1"/>
    <col min="662" max="662" width="6.83203125" bestFit="1" customWidth="1"/>
    <col min="663" max="663" width="9.25" bestFit="1" customWidth="1"/>
    <col min="664" max="664" width="6.83203125" bestFit="1" customWidth="1"/>
    <col min="665" max="665" width="9.25" bestFit="1" customWidth="1"/>
    <col min="666" max="666" width="6.83203125" bestFit="1" customWidth="1"/>
    <col min="667" max="667" width="9.25" bestFit="1" customWidth="1"/>
    <col min="668" max="668" width="6.83203125" bestFit="1" customWidth="1"/>
    <col min="669" max="669" width="9.25" bestFit="1" customWidth="1"/>
    <col min="670" max="670" width="6.83203125" bestFit="1" customWidth="1"/>
    <col min="671" max="671" width="9.25" bestFit="1" customWidth="1"/>
    <col min="672" max="672" width="4.83203125" bestFit="1" customWidth="1"/>
    <col min="673" max="673" width="7.83203125" bestFit="1" customWidth="1"/>
    <col min="674" max="674" width="6.83203125" bestFit="1" customWidth="1"/>
    <col min="675" max="675" width="9.25" bestFit="1" customWidth="1"/>
    <col min="676" max="676" width="6.83203125" bestFit="1" customWidth="1"/>
    <col min="677" max="677" width="9.25" bestFit="1" customWidth="1"/>
    <col min="678" max="681" width="5.83203125" bestFit="1" customWidth="1"/>
    <col min="682" max="682" width="8.83203125" bestFit="1" customWidth="1"/>
    <col min="683" max="683" width="11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</row>
    <row r="2" spans="1:13" x14ac:dyDescent="0.3">
      <c r="A2" t="s">
        <v>15</v>
      </c>
      <c r="B2">
        <v>33</v>
      </c>
      <c r="C2" t="s">
        <v>16</v>
      </c>
      <c r="D2">
        <v>44.7</v>
      </c>
      <c r="E2">
        <v>127</v>
      </c>
      <c r="H2" s="24" t="s">
        <v>525</v>
      </c>
      <c r="I2" s="24"/>
      <c r="J2" s="24"/>
    </row>
    <row r="3" spans="1:13" x14ac:dyDescent="0.3">
      <c r="A3" t="s">
        <v>19</v>
      </c>
      <c r="B3">
        <v>28</v>
      </c>
      <c r="C3" t="s">
        <v>16</v>
      </c>
      <c r="D3">
        <v>78</v>
      </c>
      <c r="E3">
        <v>74</v>
      </c>
      <c r="H3" t="s">
        <v>456</v>
      </c>
    </row>
    <row r="4" spans="1:13" x14ac:dyDescent="0.3">
      <c r="A4" t="s">
        <v>21</v>
      </c>
      <c r="B4">
        <v>35</v>
      </c>
      <c r="C4" t="s">
        <v>16</v>
      </c>
      <c r="D4">
        <v>51.8</v>
      </c>
      <c r="E4">
        <v>67</v>
      </c>
    </row>
    <row r="5" spans="1:13" hidden="1" x14ac:dyDescent="0.3">
      <c r="A5" t="s">
        <v>23</v>
      </c>
      <c r="B5">
        <v>42</v>
      </c>
      <c r="C5" t="s">
        <v>24</v>
      </c>
      <c r="D5">
        <v>37</v>
      </c>
      <c r="E5">
        <v>0</v>
      </c>
      <c r="H5" s="3" t="s">
        <v>457</v>
      </c>
      <c r="I5" s="3"/>
    </row>
    <row r="6" spans="1:13" x14ac:dyDescent="0.3">
      <c r="A6" t="s">
        <v>25</v>
      </c>
      <c r="B6">
        <v>28</v>
      </c>
      <c r="C6" t="s">
        <v>24</v>
      </c>
      <c r="D6">
        <v>38.5</v>
      </c>
      <c r="E6">
        <v>143</v>
      </c>
      <c r="H6" t="s">
        <v>458</v>
      </c>
      <c r="I6" s="12">
        <v>0.13187936580265788</v>
      </c>
    </row>
    <row r="7" spans="1:13" x14ac:dyDescent="0.3">
      <c r="A7" t="s">
        <v>27</v>
      </c>
      <c r="B7">
        <v>28</v>
      </c>
      <c r="C7" t="s">
        <v>28</v>
      </c>
      <c r="D7">
        <v>44</v>
      </c>
      <c r="E7">
        <v>71</v>
      </c>
      <c r="H7" t="s">
        <v>459</v>
      </c>
      <c r="I7" s="12">
        <v>1.7392167124511249E-2</v>
      </c>
    </row>
    <row r="8" spans="1:13" x14ac:dyDescent="0.3">
      <c r="A8" t="s">
        <v>30</v>
      </c>
      <c r="B8">
        <v>42</v>
      </c>
      <c r="C8" t="s">
        <v>28</v>
      </c>
      <c r="D8">
        <v>64.8</v>
      </c>
      <c r="E8">
        <v>141</v>
      </c>
      <c r="H8" t="s">
        <v>461</v>
      </c>
      <c r="I8">
        <v>1.492330322281404E-2</v>
      </c>
    </row>
    <row r="9" spans="1:13" x14ac:dyDescent="0.3">
      <c r="A9" t="s">
        <v>32</v>
      </c>
      <c r="B9">
        <v>36</v>
      </c>
      <c r="C9" t="s">
        <v>24</v>
      </c>
      <c r="D9">
        <v>87</v>
      </c>
      <c r="E9">
        <v>51</v>
      </c>
      <c r="H9" t="s">
        <v>435</v>
      </c>
      <c r="I9">
        <v>14.907558000475216</v>
      </c>
    </row>
    <row r="10" spans="1:13" ht="14.5" thickBot="1" x14ac:dyDescent="0.35">
      <c r="A10" t="s">
        <v>33</v>
      </c>
      <c r="B10">
        <v>26</v>
      </c>
      <c r="C10" t="s">
        <v>24</v>
      </c>
      <c r="D10">
        <v>91.7</v>
      </c>
      <c r="E10">
        <v>149</v>
      </c>
      <c r="H10" s="1" t="s">
        <v>462</v>
      </c>
      <c r="I10" s="1">
        <v>400</v>
      </c>
    </row>
    <row r="11" spans="1:13" x14ac:dyDescent="0.3">
      <c r="A11" t="s">
        <v>34</v>
      </c>
      <c r="B11">
        <v>34</v>
      </c>
      <c r="C11" t="s">
        <v>24</v>
      </c>
      <c r="D11">
        <v>42.2</v>
      </c>
      <c r="E11">
        <v>50</v>
      </c>
    </row>
    <row r="12" spans="1:13" ht="14.5" thickBot="1" x14ac:dyDescent="0.35">
      <c r="A12" t="s">
        <v>35</v>
      </c>
      <c r="B12">
        <v>26</v>
      </c>
      <c r="C12" t="s">
        <v>24</v>
      </c>
      <c r="D12">
        <v>55.9</v>
      </c>
      <c r="E12">
        <v>87</v>
      </c>
      <c r="H12" t="s">
        <v>463</v>
      </c>
    </row>
    <row r="13" spans="1:13" x14ac:dyDescent="0.3">
      <c r="A13" t="s">
        <v>36</v>
      </c>
      <c r="B13">
        <v>26</v>
      </c>
      <c r="C13" t="s">
        <v>16</v>
      </c>
      <c r="D13">
        <v>88.4</v>
      </c>
      <c r="E13">
        <v>188</v>
      </c>
      <c r="H13" s="2"/>
      <c r="I13" s="2" t="s">
        <v>464</v>
      </c>
      <c r="J13" s="2" t="s">
        <v>465</v>
      </c>
      <c r="K13" s="2" t="s">
        <v>466</v>
      </c>
      <c r="L13" s="2" t="s">
        <v>467</v>
      </c>
      <c r="M13" s="2" t="s">
        <v>468</v>
      </c>
    </row>
    <row r="14" spans="1:13" x14ac:dyDescent="0.3">
      <c r="A14" t="s">
        <v>38</v>
      </c>
      <c r="B14">
        <v>31</v>
      </c>
      <c r="C14" t="s">
        <v>16</v>
      </c>
      <c r="D14">
        <v>33</v>
      </c>
      <c r="E14">
        <v>139</v>
      </c>
      <c r="H14" t="s">
        <v>469</v>
      </c>
      <c r="I14">
        <v>1</v>
      </c>
      <c r="J14">
        <v>1565.5594560620229</v>
      </c>
      <c r="K14">
        <v>1565.5594560620229</v>
      </c>
      <c r="L14">
        <v>7.0446034358374678</v>
      </c>
      <c r="M14" s="12">
        <v>8.2691774896794783E-3</v>
      </c>
    </row>
    <row r="15" spans="1:13" x14ac:dyDescent="0.3">
      <c r="A15" t="s">
        <v>39</v>
      </c>
      <c r="B15">
        <v>16</v>
      </c>
      <c r="C15" t="s">
        <v>16</v>
      </c>
      <c r="D15">
        <v>70.7</v>
      </c>
      <c r="E15">
        <v>102</v>
      </c>
      <c r="H15" t="s">
        <v>470</v>
      </c>
      <c r="I15">
        <v>398</v>
      </c>
      <c r="J15">
        <v>88449.643643937976</v>
      </c>
      <c r="K15">
        <v>222.2352855375326</v>
      </c>
    </row>
    <row r="16" spans="1:13" ht="14.5" hidden="1" thickBot="1" x14ac:dyDescent="0.35">
      <c r="A16" t="s">
        <v>40</v>
      </c>
      <c r="B16">
        <v>16</v>
      </c>
      <c r="C16" t="s">
        <v>24</v>
      </c>
      <c r="D16">
        <v>53.2</v>
      </c>
      <c r="E16">
        <v>0</v>
      </c>
      <c r="H16" s="1" t="s">
        <v>471</v>
      </c>
      <c r="I16" s="1">
        <v>399</v>
      </c>
      <c r="J16" s="1">
        <v>90015.203099999999</v>
      </c>
      <c r="K16" s="1"/>
      <c r="L16" s="1"/>
      <c r="M16" s="1"/>
    </row>
    <row r="17" spans="1:16" ht="14.5" thickBot="1" x14ac:dyDescent="0.35">
      <c r="A17" t="s">
        <v>41</v>
      </c>
      <c r="B17">
        <v>25</v>
      </c>
      <c r="C17" t="s">
        <v>24</v>
      </c>
      <c r="D17">
        <v>37.6</v>
      </c>
      <c r="E17">
        <v>284</v>
      </c>
    </row>
    <row r="18" spans="1:16" x14ac:dyDescent="0.3">
      <c r="A18" t="s">
        <v>42</v>
      </c>
      <c r="B18">
        <v>21</v>
      </c>
      <c r="C18" t="s">
        <v>16</v>
      </c>
      <c r="D18">
        <v>60.3</v>
      </c>
      <c r="E18">
        <v>223</v>
      </c>
      <c r="H18" s="2"/>
      <c r="I18" s="2" t="s">
        <v>472</v>
      </c>
      <c r="J18" s="2" t="s">
        <v>435</v>
      </c>
      <c r="K18" s="2" t="s">
        <v>473</v>
      </c>
      <c r="L18" s="2" t="s">
        <v>474</v>
      </c>
      <c r="M18" s="2" t="s">
        <v>475</v>
      </c>
      <c r="N18" s="2" t="s">
        <v>476</v>
      </c>
      <c r="O18" s="2" t="s">
        <v>477</v>
      </c>
      <c r="P18" s="2" t="s">
        <v>478</v>
      </c>
    </row>
    <row r="19" spans="1:16" x14ac:dyDescent="0.3">
      <c r="A19" t="s">
        <v>43</v>
      </c>
      <c r="B19">
        <v>32</v>
      </c>
      <c r="C19" t="s">
        <v>24</v>
      </c>
      <c r="D19">
        <v>49</v>
      </c>
      <c r="E19">
        <v>167</v>
      </c>
      <c r="H19" t="s">
        <v>479</v>
      </c>
      <c r="I19">
        <v>51.199448302964477</v>
      </c>
      <c r="J19">
        <v>1.3877918829900213</v>
      </c>
      <c r="K19">
        <v>36.892742298401679</v>
      </c>
      <c r="L19">
        <v>1.6683308790609076E-130</v>
      </c>
      <c r="M19">
        <v>48.471129503323688</v>
      </c>
      <c r="N19">
        <v>53.927767102605266</v>
      </c>
      <c r="O19">
        <v>48.471129503323688</v>
      </c>
      <c r="P19">
        <v>53.927767102605266</v>
      </c>
    </row>
    <row r="20" spans="1:16" ht="14.5" thickBot="1" x14ac:dyDescent="0.35">
      <c r="A20" t="s">
        <v>44</v>
      </c>
      <c r="B20">
        <v>22</v>
      </c>
      <c r="C20" t="s">
        <v>24</v>
      </c>
      <c r="D20">
        <v>85.1</v>
      </c>
      <c r="E20">
        <v>52</v>
      </c>
      <c r="H20" s="1" t="s">
        <v>12</v>
      </c>
      <c r="I20" s="21">
        <v>2.8294797350291431E-2</v>
      </c>
      <c r="J20" s="1">
        <v>1.0660518120512188E-2</v>
      </c>
      <c r="K20" s="1">
        <v>2.6541671830986013</v>
      </c>
      <c r="L20" s="1">
        <v>8.269177489678859E-3</v>
      </c>
      <c r="M20" s="1">
        <v>7.3368335816606997E-3</v>
      </c>
      <c r="N20" s="1">
        <v>4.9252761118922163E-2</v>
      </c>
      <c r="O20" s="1">
        <v>7.3368335816606997E-3</v>
      </c>
      <c r="P20" s="1">
        <v>4.9252761118922163E-2</v>
      </c>
    </row>
    <row r="21" spans="1:16" x14ac:dyDescent="0.3">
      <c r="A21" t="s">
        <v>45</v>
      </c>
      <c r="B21">
        <v>18</v>
      </c>
      <c r="C21" t="s">
        <v>16</v>
      </c>
      <c r="D21">
        <v>52</v>
      </c>
      <c r="E21">
        <v>82</v>
      </c>
    </row>
    <row r="22" spans="1:16" x14ac:dyDescent="0.3">
      <c r="A22" t="s">
        <v>46</v>
      </c>
      <c r="B22">
        <v>41</v>
      </c>
      <c r="C22" t="s">
        <v>16</v>
      </c>
      <c r="D22">
        <v>48.1</v>
      </c>
      <c r="E22">
        <v>65</v>
      </c>
    </row>
    <row r="23" spans="1:16" x14ac:dyDescent="0.3">
      <c r="A23" t="s">
        <v>47</v>
      </c>
      <c r="B23">
        <v>28</v>
      </c>
      <c r="C23" t="s">
        <v>24</v>
      </c>
      <c r="D23">
        <v>53.1</v>
      </c>
      <c r="E23">
        <v>200</v>
      </c>
    </row>
    <row r="24" spans="1:16" x14ac:dyDescent="0.3">
      <c r="A24" t="s">
        <v>48</v>
      </c>
      <c r="B24">
        <v>30</v>
      </c>
      <c r="C24" t="s">
        <v>24</v>
      </c>
      <c r="D24">
        <v>76.400000000000006</v>
      </c>
      <c r="E24">
        <v>130</v>
      </c>
      <c r="H24" s="25" t="s">
        <v>526</v>
      </c>
    </row>
    <row r="25" spans="1:16" x14ac:dyDescent="0.3">
      <c r="A25" t="s">
        <v>49</v>
      </c>
      <c r="B25">
        <v>18</v>
      </c>
      <c r="C25" t="s">
        <v>24</v>
      </c>
      <c r="D25">
        <v>77.3</v>
      </c>
      <c r="E25">
        <v>63</v>
      </c>
      <c r="H25" t="s">
        <v>527</v>
      </c>
    </row>
    <row r="26" spans="1:16" x14ac:dyDescent="0.3">
      <c r="A26" t="s">
        <v>50</v>
      </c>
      <c r="B26">
        <v>25</v>
      </c>
      <c r="C26" t="s">
        <v>24</v>
      </c>
      <c r="D26">
        <v>50.3</v>
      </c>
      <c r="E26">
        <v>69</v>
      </c>
    </row>
    <row r="27" spans="1:16" x14ac:dyDescent="0.3">
      <c r="A27" t="s">
        <v>51</v>
      </c>
      <c r="B27">
        <v>30</v>
      </c>
      <c r="C27" t="s">
        <v>24</v>
      </c>
      <c r="D27">
        <v>51</v>
      </c>
      <c r="E27">
        <v>194</v>
      </c>
      <c r="H27" t="s">
        <v>528</v>
      </c>
    </row>
    <row r="28" spans="1:16" x14ac:dyDescent="0.3">
      <c r="A28" t="s">
        <v>52</v>
      </c>
      <c r="B28">
        <v>20</v>
      </c>
      <c r="C28" t="s">
        <v>24</v>
      </c>
      <c r="D28">
        <v>53.3</v>
      </c>
      <c r="E28">
        <v>197</v>
      </c>
    </row>
    <row r="29" spans="1:16" x14ac:dyDescent="0.3">
      <c r="A29" t="s">
        <v>53</v>
      </c>
      <c r="B29">
        <v>33</v>
      </c>
      <c r="C29" t="s">
        <v>24</v>
      </c>
      <c r="D29">
        <v>60</v>
      </c>
      <c r="E29">
        <v>227</v>
      </c>
      <c r="H29" t="s">
        <v>529</v>
      </c>
    </row>
    <row r="30" spans="1:16" x14ac:dyDescent="0.3">
      <c r="A30" t="s">
        <v>54</v>
      </c>
      <c r="B30">
        <v>25</v>
      </c>
      <c r="C30" t="s">
        <v>24</v>
      </c>
      <c r="D30">
        <v>61.1</v>
      </c>
      <c r="E30">
        <v>164</v>
      </c>
    </row>
    <row r="31" spans="1:16" x14ac:dyDescent="0.3">
      <c r="A31" t="s">
        <v>55</v>
      </c>
      <c r="B31">
        <v>27</v>
      </c>
      <c r="C31" t="s">
        <v>16</v>
      </c>
      <c r="D31">
        <v>38</v>
      </c>
      <c r="E31">
        <v>81</v>
      </c>
    </row>
    <row r="32" spans="1:16" hidden="1" x14ac:dyDescent="0.3">
      <c r="A32" t="s">
        <v>56</v>
      </c>
      <c r="B32">
        <v>25</v>
      </c>
      <c r="C32" t="s">
        <v>16</v>
      </c>
      <c r="D32">
        <v>52.1</v>
      </c>
      <c r="E32">
        <v>0</v>
      </c>
    </row>
    <row r="33" spans="1:5" x14ac:dyDescent="0.3">
      <c r="A33" t="s">
        <v>57</v>
      </c>
      <c r="B33">
        <v>44</v>
      </c>
      <c r="C33" t="s">
        <v>16</v>
      </c>
      <c r="D33">
        <v>42.6</v>
      </c>
      <c r="E33">
        <v>100</v>
      </c>
    </row>
    <row r="34" spans="1:5" x14ac:dyDescent="0.3">
      <c r="A34" t="s">
        <v>58</v>
      </c>
      <c r="B34">
        <v>29</v>
      </c>
      <c r="C34" t="s">
        <v>24</v>
      </c>
      <c r="D34">
        <v>60.3</v>
      </c>
      <c r="E34">
        <v>116</v>
      </c>
    </row>
    <row r="35" spans="1:5" x14ac:dyDescent="0.3">
      <c r="A35" t="s">
        <v>59</v>
      </c>
      <c r="B35">
        <v>21</v>
      </c>
      <c r="C35" t="s">
        <v>24</v>
      </c>
      <c r="D35">
        <v>57</v>
      </c>
      <c r="E35">
        <v>95</v>
      </c>
    </row>
    <row r="36" spans="1:5" x14ac:dyDescent="0.3">
      <c r="A36" t="s">
        <v>60</v>
      </c>
      <c r="B36">
        <v>36</v>
      </c>
      <c r="C36" t="s">
        <v>24</v>
      </c>
      <c r="D36">
        <v>39.6</v>
      </c>
      <c r="E36">
        <v>86</v>
      </c>
    </row>
    <row r="37" spans="1:5" x14ac:dyDescent="0.3">
      <c r="A37" t="s">
        <v>61</v>
      </c>
      <c r="B37">
        <v>20</v>
      </c>
      <c r="C37" t="s">
        <v>16</v>
      </c>
      <c r="D37">
        <v>53.6</v>
      </c>
      <c r="E37">
        <v>15</v>
      </c>
    </row>
    <row r="38" spans="1:5" x14ac:dyDescent="0.3">
      <c r="A38" t="s">
        <v>62</v>
      </c>
      <c r="B38">
        <v>31</v>
      </c>
      <c r="C38" t="s">
        <v>16</v>
      </c>
      <c r="D38">
        <v>45.7</v>
      </c>
      <c r="E38">
        <v>138</v>
      </c>
    </row>
    <row r="39" spans="1:5" x14ac:dyDescent="0.3">
      <c r="A39" t="s">
        <v>63</v>
      </c>
      <c r="B39">
        <v>16</v>
      </c>
      <c r="C39" t="s">
        <v>16</v>
      </c>
      <c r="D39">
        <v>68.099999999999994</v>
      </c>
      <c r="E39">
        <v>147</v>
      </c>
    </row>
    <row r="40" spans="1:5" x14ac:dyDescent="0.3">
      <c r="A40" t="s">
        <v>64</v>
      </c>
      <c r="B40">
        <v>19</v>
      </c>
      <c r="C40" t="s">
        <v>16</v>
      </c>
      <c r="D40">
        <v>49.8</v>
      </c>
      <c r="E40">
        <v>153</v>
      </c>
    </row>
    <row r="41" spans="1:5" x14ac:dyDescent="0.3">
      <c r="A41" t="s">
        <v>65</v>
      </c>
      <c r="B41">
        <v>31</v>
      </c>
      <c r="C41" t="s">
        <v>24</v>
      </c>
      <c r="D41">
        <v>51.6</v>
      </c>
      <c r="E41">
        <v>172</v>
      </c>
    </row>
    <row r="42" spans="1:5" x14ac:dyDescent="0.3">
      <c r="A42" t="s">
        <v>66</v>
      </c>
      <c r="B42">
        <v>35</v>
      </c>
      <c r="C42" t="s">
        <v>16</v>
      </c>
      <c r="D42">
        <v>67.400000000000006</v>
      </c>
      <c r="E42">
        <v>169</v>
      </c>
    </row>
    <row r="43" spans="1:5" x14ac:dyDescent="0.3">
      <c r="A43" t="s">
        <v>67</v>
      </c>
      <c r="B43">
        <v>31</v>
      </c>
      <c r="C43" t="s">
        <v>16</v>
      </c>
      <c r="D43">
        <v>51.7</v>
      </c>
      <c r="E43">
        <v>74</v>
      </c>
    </row>
    <row r="44" spans="1:5" x14ac:dyDescent="0.3">
      <c r="A44" t="s">
        <v>68</v>
      </c>
      <c r="B44">
        <v>29</v>
      </c>
      <c r="C44" t="s">
        <v>24</v>
      </c>
      <c r="D44">
        <v>77.7</v>
      </c>
      <c r="E44">
        <v>106</v>
      </c>
    </row>
    <row r="45" spans="1:5" x14ac:dyDescent="0.3">
      <c r="A45" t="s">
        <v>69</v>
      </c>
      <c r="B45">
        <v>27</v>
      </c>
      <c r="C45" t="s">
        <v>16</v>
      </c>
      <c r="D45">
        <v>37.6</v>
      </c>
      <c r="E45">
        <v>92</v>
      </c>
    </row>
    <row r="46" spans="1:5" x14ac:dyDescent="0.3">
      <c r="A46" t="s">
        <v>70</v>
      </c>
      <c r="B46">
        <v>18</v>
      </c>
      <c r="C46" t="s">
        <v>16</v>
      </c>
      <c r="D46">
        <v>58.8</v>
      </c>
      <c r="E46">
        <v>119</v>
      </c>
    </row>
    <row r="47" spans="1:5" x14ac:dyDescent="0.3">
      <c r="A47" t="s">
        <v>71</v>
      </c>
      <c r="B47">
        <v>24</v>
      </c>
      <c r="C47" t="s">
        <v>24</v>
      </c>
      <c r="D47">
        <v>79.599999999999994</v>
      </c>
      <c r="E47">
        <v>188</v>
      </c>
    </row>
    <row r="48" spans="1:5" x14ac:dyDescent="0.3">
      <c r="A48" t="s">
        <v>72</v>
      </c>
      <c r="B48">
        <v>26</v>
      </c>
      <c r="C48" t="s">
        <v>16</v>
      </c>
      <c r="D48">
        <v>49.2</v>
      </c>
      <c r="E48">
        <v>156</v>
      </c>
    </row>
    <row r="49" spans="1:5" x14ac:dyDescent="0.3">
      <c r="A49" t="s">
        <v>73</v>
      </c>
      <c r="B49">
        <v>38</v>
      </c>
      <c r="C49" t="s">
        <v>24</v>
      </c>
      <c r="D49">
        <v>34.799999999999997</v>
      </c>
      <c r="E49">
        <v>222</v>
      </c>
    </row>
    <row r="50" spans="1:5" x14ac:dyDescent="0.3">
      <c r="A50" t="s">
        <v>74</v>
      </c>
      <c r="B50">
        <v>32</v>
      </c>
      <c r="C50" t="s">
        <v>24</v>
      </c>
      <c r="D50">
        <v>52.8</v>
      </c>
      <c r="E50">
        <v>254</v>
      </c>
    </row>
    <row r="51" spans="1:5" x14ac:dyDescent="0.3">
      <c r="A51" t="s">
        <v>75</v>
      </c>
      <c r="B51">
        <v>16</v>
      </c>
      <c r="C51" t="s">
        <v>24</v>
      </c>
      <c r="D51">
        <v>27.1</v>
      </c>
      <c r="E51">
        <v>77</v>
      </c>
    </row>
    <row r="52" spans="1:5" hidden="1" x14ac:dyDescent="0.3">
      <c r="A52" t="s">
        <v>76</v>
      </c>
      <c r="B52">
        <v>32</v>
      </c>
      <c r="C52" t="s">
        <v>16</v>
      </c>
      <c r="D52">
        <v>56.8</v>
      </c>
      <c r="E52">
        <v>0</v>
      </c>
    </row>
    <row r="53" spans="1:5" x14ac:dyDescent="0.3">
      <c r="A53" t="s">
        <v>77</v>
      </c>
      <c r="B53">
        <v>26</v>
      </c>
      <c r="C53" t="s">
        <v>24</v>
      </c>
      <c r="D53">
        <v>38.5</v>
      </c>
      <c r="E53">
        <v>181</v>
      </c>
    </row>
    <row r="54" spans="1:5" x14ac:dyDescent="0.3">
      <c r="A54" t="s">
        <v>78</v>
      </c>
      <c r="B54">
        <v>24</v>
      </c>
      <c r="C54" t="s">
        <v>16</v>
      </c>
      <c r="D54">
        <v>44.9</v>
      </c>
      <c r="E54">
        <v>65</v>
      </c>
    </row>
    <row r="55" spans="1:5" x14ac:dyDescent="0.3">
      <c r="A55" t="s">
        <v>79</v>
      </c>
      <c r="B55">
        <v>34</v>
      </c>
      <c r="C55" t="s">
        <v>16</v>
      </c>
      <c r="D55">
        <v>44.8</v>
      </c>
      <c r="E55">
        <v>43</v>
      </c>
    </row>
    <row r="56" spans="1:5" x14ac:dyDescent="0.3">
      <c r="A56" t="s">
        <v>80</v>
      </c>
      <c r="B56">
        <v>38</v>
      </c>
      <c r="C56" t="s">
        <v>16</v>
      </c>
      <c r="D56">
        <v>60</v>
      </c>
      <c r="E56">
        <v>77</v>
      </c>
    </row>
    <row r="57" spans="1:5" x14ac:dyDescent="0.3">
      <c r="A57" t="s">
        <v>81</v>
      </c>
      <c r="B57">
        <v>37</v>
      </c>
      <c r="C57" t="s">
        <v>28</v>
      </c>
      <c r="D57">
        <v>51.7</v>
      </c>
      <c r="E57">
        <v>85</v>
      </c>
    </row>
    <row r="58" spans="1:5" x14ac:dyDescent="0.3">
      <c r="A58" t="s">
        <v>82</v>
      </c>
      <c r="B58">
        <v>23</v>
      </c>
      <c r="C58" t="s">
        <v>16</v>
      </c>
      <c r="D58">
        <v>74</v>
      </c>
      <c r="E58">
        <v>157</v>
      </c>
    </row>
    <row r="59" spans="1:5" hidden="1" x14ac:dyDescent="0.3">
      <c r="A59" t="s">
        <v>83</v>
      </c>
      <c r="B59">
        <v>27</v>
      </c>
      <c r="C59" t="s">
        <v>16</v>
      </c>
      <c r="D59">
        <v>81</v>
      </c>
      <c r="E59">
        <v>0</v>
      </c>
    </row>
    <row r="60" spans="1:5" x14ac:dyDescent="0.3">
      <c r="A60" t="s">
        <v>84</v>
      </c>
      <c r="B60">
        <v>32</v>
      </c>
      <c r="C60" t="s">
        <v>24</v>
      </c>
      <c r="D60">
        <v>67.8</v>
      </c>
      <c r="E60">
        <v>15</v>
      </c>
    </row>
    <row r="61" spans="1:5" x14ac:dyDescent="0.3">
      <c r="A61" t="s">
        <v>85</v>
      </c>
      <c r="B61">
        <v>37</v>
      </c>
      <c r="C61" t="s">
        <v>16</v>
      </c>
      <c r="D61">
        <v>40.299999999999997</v>
      </c>
      <c r="E61">
        <v>132</v>
      </c>
    </row>
    <row r="62" spans="1:5" x14ac:dyDescent="0.3">
      <c r="A62" t="s">
        <v>86</v>
      </c>
      <c r="B62">
        <v>26</v>
      </c>
      <c r="C62" t="s">
        <v>16</v>
      </c>
      <c r="D62">
        <v>46.3</v>
      </c>
      <c r="E62">
        <v>139</v>
      </c>
    </row>
    <row r="63" spans="1:5" x14ac:dyDescent="0.3">
      <c r="A63" t="s">
        <v>87</v>
      </c>
      <c r="B63">
        <v>28</v>
      </c>
      <c r="C63" t="s">
        <v>16</v>
      </c>
      <c r="D63">
        <v>45.8</v>
      </c>
      <c r="E63">
        <v>148</v>
      </c>
    </row>
    <row r="64" spans="1:5" x14ac:dyDescent="0.3">
      <c r="A64" t="s">
        <v>88</v>
      </c>
      <c r="B64">
        <v>21</v>
      </c>
      <c r="C64" t="s">
        <v>16</v>
      </c>
      <c r="D64">
        <v>42.2</v>
      </c>
      <c r="E64">
        <v>31</v>
      </c>
    </row>
    <row r="65" spans="1:5" x14ac:dyDescent="0.3">
      <c r="A65" t="s">
        <v>89</v>
      </c>
      <c r="B65">
        <v>20</v>
      </c>
      <c r="C65" t="s">
        <v>16</v>
      </c>
      <c r="D65">
        <v>51.1</v>
      </c>
      <c r="E65">
        <v>41</v>
      </c>
    </row>
    <row r="66" spans="1:5" x14ac:dyDescent="0.3">
      <c r="A66" t="s">
        <v>90</v>
      </c>
      <c r="B66">
        <v>36</v>
      </c>
      <c r="C66" t="s">
        <v>16</v>
      </c>
      <c r="D66">
        <v>48.3</v>
      </c>
      <c r="E66">
        <v>84</v>
      </c>
    </row>
    <row r="67" spans="1:5" x14ac:dyDescent="0.3">
      <c r="A67" t="s">
        <v>91</v>
      </c>
      <c r="B67">
        <v>40</v>
      </c>
      <c r="C67" t="s">
        <v>24</v>
      </c>
      <c r="D67">
        <v>86.3</v>
      </c>
      <c r="E67">
        <v>147</v>
      </c>
    </row>
    <row r="68" spans="1:5" x14ac:dyDescent="0.3">
      <c r="A68" t="s">
        <v>92</v>
      </c>
      <c r="B68">
        <v>29</v>
      </c>
      <c r="C68" t="s">
        <v>16</v>
      </c>
      <c r="D68">
        <v>38</v>
      </c>
      <c r="E68">
        <v>195</v>
      </c>
    </row>
    <row r="69" spans="1:5" hidden="1" x14ac:dyDescent="0.3">
      <c r="A69" t="s">
        <v>93</v>
      </c>
      <c r="B69">
        <v>38</v>
      </c>
      <c r="C69" t="s">
        <v>16</v>
      </c>
      <c r="D69">
        <v>50.3</v>
      </c>
      <c r="E69">
        <v>0</v>
      </c>
    </row>
    <row r="70" spans="1:5" x14ac:dyDescent="0.3">
      <c r="A70" t="s">
        <v>94</v>
      </c>
      <c r="B70">
        <v>32</v>
      </c>
      <c r="C70" t="s">
        <v>24</v>
      </c>
      <c r="D70">
        <v>76.5</v>
      </c>
      <c r="E70">
        <v>102</v>
      </c>
    </row>
    <row r="71" spans="1:5" x14ac:dyDescent="0.3">
      <c r="A71" t="s">
        <v>95</v>
      </c>
      <c r="B71">
        <v>24</v>
      </c>
      <c r="C71" t="s">
        <v>16</v>
      </c>
      <c r="D71">
        <v>65.099999999999994</v>
      </c>
      <c r="E71">
        <v>12</v>
      </c>
    </row>
    <row r="72" spans="1:5" hidden="1" x14ac:dyDescent="0.3">
      <c r="A72" t="s">
        <v>96</v>
      </c>
      <c r="B72">
        <v>32</v>
      </c>
      <c r="C72" t="s">
        <v>24</v>
      </c>
      <c r="D72">
        <v>59</v>
      </c>
      <c r="E72">
        <v>0</v>
      </c>
    </row>
    <row r="73" spans="1:5" x14ac:dyDescent="0.3">
      <c r="A73" t="s">
        <v>97</v>
      </c>
      <c r="B73">
        <v>42</v>
      </c>
      <c r="C73" t="s">
        <v>16</v>
      </c>
      <c r="D73">
        <v>43</v>
      </c>
      <c r="E73">
        <v>151</v>
      </c>
    </row>
    <row r="74" spans="1:5" x14ac:dyDescent="0.3">
      <c r="A74" t="s">
        <v>98</v>
      </c>
      <c r="B74">
        <v>29</v>
      </c>
      <c r="C74" t="s">
        <v>16</v>
      </c>
      <c r="D74">
        <v>68.5</v>
      </c>
      <c r="E74">
        <v>163</v>
      </c>
    </row>
    <row r="75" spans="1:5" x14ac:dyDescent="0.3">
      <c r="A75" t="s">
        <v>99</v>
      </c>
      <c r="B75">
        <v>42</v>
      </c>
      <c r="C75" t="s">
        <v>16</v>
      </c>
      <c r="D75">
        <v>56</v>
      </c>
      <c r="E75">
        <v>144</v>
      </c>
    </row>
    <row r="76" spans="1:5" x14ac:dyDescent="0.3">
      <c r="A76" t="s">
        <v>100</v>
      </c>
      <c r="B76">
        <v>16</v>
      </c>
      <c r="C76" t="s">
        <v>16</v>
      </c>
      <c r="D76">
        <v>74.5</v>
      </c>
      <c r="E76">
        <v>161</v>
      </c>
    </row>
    <row r="77" spans="1:5" x14ac:dyDescent="0.3">
      <c r="A77" t="s">
        <v>101</v>
      </c>
      <c r="B77">
        <v>36</v>
      </c>
      <c r="C77" t="s">
        <v>16</v>
      </c>
      <c r="D77">
        <v>51.1</v>
      </c>
      <c r="E77">
        <v>72</v>
      </c>
    </row>
    <row r="78" spans="1:5" x14ac:dyDescent="0.3">
      <c r="A78" t="s">
        <v>102</v>
      </c>
      <c r="B78">
        <v>30</v>
      </c>
      <c r="C78" t="s">
        <v>16</v>
      </c>
      <c r="D78">
        <v>60.5</v>
      </c>
      <c r="E78">
        <v>88</v>
      </c>
    </row>
    <row r="79" spans="1:5" x14ac:dyDescent="0.3">
      <c r="A79" t="s">
        <v>103</v>
      </c>
      <c r="B79">
        <v>27</v>
      </c>
      <c r="C79" t="s">
        <v>16</v>
      </c>
      <c r="D79">
        <v>88</v>
      </c>
      <c r="E79">
        <v>286</v>
      </c>
    </row>
    <row r="80" spans="1:5" x14ac:dyDescent="0.3">
      <c r="A80" t="s">
        <v>104</v>
      </c>
      <c r="B80">
        <v>30</v>
      </c>
      <c r="C80" t="s">
        <v>16</v>
      </c>
      <c r="D80">
        <v>41.5</v>
      </c>
      <c r="E80">
        <v>70</v>
      </c>
    </row>
    <row r="81" spans="1:5" x14ac:dyDescent="0.3">
      <c r="A81" t="s">
        <v>105</v>
      </c>
      <c r="B81">
        <v>16</v>
      </c>
      <c r="C81" t="s">
        <v>16</v>
      </c>
      <c r="D81">
        <v>67.7</v>
      </c>
      <c r="E81">
        <v>157</v>
      </c>
    </row>
    <row r="82" spans="1:5" x14ac:dyDescent="0.3">
      <c r="A82" t="s">
        <v>106</v>
      </c>
      <c r="B82">
        <v>28</v>
      </c>
      <c r="C82" t="s">
        <v>16</v>
      </c>
      <c r="D82">
        <v>45.5</v>
      </c>
      <c r="E82">
        <v>103</v>
      </c>
    </row>
    <row r="83" spans="1:5" hidden="1" x14ac:dyDescent="0.3">
      <c r="A83" t="s">
        <v>107</v>
      </c>
      <c r="B83">
        <v>32</v>
      </c>
      <c r="C83" t="s">
        <v>16</v>
      </c>
      <c r="D83">
        <v>88.3</v>
      </c>
      <c r="E83">
        <v>0</v>
      </c>
    </row>
    <row r="84" spans="1:5" hidden="1" x14ac:dyDescent="0.3">
      <c r="A84" t="s">
        <v>108</v>
      </c>
      <c r="B84">
        <v>41</v>
      </c>
      <c r="C84" t="s">
        <v>16</v>
      </c>
      <c r="D84">
        <v>66.3</v>
      </c>
      <c r="E84">
        <v>0</v>
      </c>
    </row>
    <row r="85" spans="1:5" x14ac:dyDescent="0.3">
      <c r="A85" t="s">
        <v>109</v>
      </c>
      <c r="B85">
        <v>25</v>
      </c>
      <c r="C85" t="s">
        <v>24</v>
      </c>
      <c r="D85">
        <v>55.9</v>
      </c>
      <c r="E85">
        <v>67</v>
      </c>
    </row>
    <row r="86" spans="1:5" x14ac:dyDescent="0.3">
      <c r="A86" t="s">
        <v>110</v>
      </c>
      <c r="B86">
        <v>23</v>
      </c>
      <c r="C86" t="s">
        <v>16</v>
      </c>
      <c r="D86">
        <v>82.3</v>
      </c>
      <c r="E86">
        <v>186</v>
      </c>
    </row>
    <row r="87" spans="1:5" x14ac:dyDescent="0.3">
      <c r="A87" t="s">
        <v>111</v>
      </c>
      <c r="B87">
        <v>25</v>
      </c>
      <c r="C87" t="s">
        <v>24</v>
      </c>
      <c r="D87">
        <v>64.400000000000006</v>
      </c>
      <c r="E87">
        <v>173</v>
      </c>
    </row>
    <row r="88" spans="1:5" x14ac:dyDescent="0.3">
      <c r="A88" t="s">
        <v>112</v>
      </c>
      <c r="B88">
        <v>37</v>
      </c>
      <c r="C88" t="s">
        <v>24</v>
      </c>
      <c r="D88">
        <v>50.4</v>
      </c>
      <c r="E88">
        <v>164</v>
      </c>
    </row>
    <row r="89" spans="1:5" x14ac:dyDescent="0.3">
      <c r="A89" t="s">
        <v>113</v>
      </c>
      <c r="B89">
        <v>32</v>
      </c>
      <c r="C89" t="s">
        <v>16</v>
      </c>
      <c r="D89">
        <v>46.5</v>
      </c>
      <c r="E89">
        <v>34</v>
      </c>
    </row>
    <row r="90" spans="1:5" x14ac:dyDescent="0.3">
      <c r="A90" t="s">
        <v>114</v>
      </c>
      <c r="B90">
        <v>25</v>
      </c>
      <c r="C90" t="s">
        <v>24</v>
      </c>
      <c r="D90">
        <v>58.3</v>
      </c>
      <c r="E90">
        <v>219</v>
      </c>
    </row>
    <row r="91" spans="1:5" x14ac:dyDescent="0.3">
      <c r="A91" t="s">
        <v>115</v>
      </c>
      <c r="B91">
        <v>34</v>
      </c>
      <c r="C91" t="s">
        <v>24</v>
      </c>
      <c r="D91">
        <v>68.7</v>
      </c>
      <c r="E91">
        <v>59</v>
      </c>
    </row>
    <row r="92" spans="1:5" x14ac:dyDescent="0.3">
      <c r="A92" t="s">
        <v>116</v>
      </c>
      <c r="B92">
        <v>30</v>
      </c>
      <c r="C92" t="s">
        <v>16</v>
      </c>
      <c r="D92">
        <v>43.9</v>
      </c>
      <c r="E92">
        <v>118</v>
      </c>
    </row>
    <row r="93" spans="1:5" x14ac:dyDescent="0.3">
      <c r="A93" t="s">
        <v>117</v>
      </c>
      <c r="B93">
        <v>37</v>
      </c>
      <c r="C93" t="s">
        <v>16</v>
      </c>
      <c r="D93">
        <v>40.6</v>
      </c>
      <c r="E93">
        <v>102</v>
      </c>
    </row>
    <row r="94" spans="1:5" x14ac:dyDescent="0.3">
      <c r="A94" t="s">
        <v>118</v>
      </c>
      <c r="B94">
        <v>24</v>
      </c>
      <c r="C94" t="s">
        <v>24</v>
      </c>
      <c r="D94">
        <v>57.1</v>
      </c>
      <c r="E94">
        <v>96</v>
      </c>
    </row>
    <row r="95" spans="1:5" x14ac:dyDescent="0.3">
      <c r="A95" t="s">
        <v>119</v>
      </c>
      <c r="B95">
        <v>27</v>
      </c>
      <c r="C95" t="s">
        <v>24</v>
      </c>
      <c r="D95">
        <v>49.9</v>
      </c>
      <c r="E95">
        <v>208</v>
      </c>
    </row>
    <row r="96" spans="1:5" hidden="1" x14ac:dyDescent="0.3">
      <c r="A96" t="s">
        <v>120</v>
      </c>
      <c r="B96">
        <v>26</v>
      </c>
      <c r="C96" t="s">
        <v>16</v>
      </c>
      <c r="D96">
        <v>95</v>
      </c>
      <c r="E96">
        <v>60</v>
      </c>
    </row>
    <row r="97" spans="1:5" hidden="1" x14ac:dyDescent="0.3">
      <c r="A97" t="s">
        <v>121</v>
      </c>
      <c r="B97">
        <v>18</v>
      </c>
      <c r="C97" t="s">
        <v>16</v>
      </c>
      <c r="D97">
        <v>51.5</v>
      </c>
      <c r="E97">
        <v>0</v>
      </c>
    </row>
    <row r="98" spans="1:5" x14ac:dyDescent="0.3">
      <c r="A98" t="s">
        <v>122</v>
      </c>
      <c r="B98">
        <v>32</v>
      </c>
      <c r="C98" t="s">
        <v>16</v>
      </c>
      <c r="D98">
        <v>53.5</v>
      </c>
      <c r="E98">
        <v>113</v>
      </c>
    </row>
    <row r="99" spans="1:5" x14ac:dyDescent="0.3">
      <c r="A99" t="s">
        <v>123</v>
      </c>
      <c r="B99">
        <v>32</v>
      </c>
      <c r="C99" t="s">
        <v>16</v>
      </c>
      <c r="D99">
        <v>48.4</v>
      </c>
      <c r="E99">
        <v>74</v>
      </c>
    </row>
    <row r="100" spans="1:5" x14ac:dyDescent="0.3">
      <c r="A100" t="s">
        <v>124</v>
      </c>
      <c r="B100">
        <v>30</v>
      </c>
      <c r="C100" t="s">
        <v>24</v>
      </c>
      <c r="D100">
        <v>61.4</v>
      </c>
      <c r="E100">
        <v>372</v>
      </c>
    </row>
    <row r="101" spans="1:5" x14ac:dyDescent="0.3">
      <c r="A101" t="s">
        <v>125</v>
      </c>
      <c r="B101">
        <v>28</v>
      </c>
      <c r="C101" t="s">
        <v>16</v>
      </c>
      <c r="D101">
        <v>53.9</v>
      </c>
      <c r="E101">
        <v>159</v>
      </c>
    </row>
    <row r="102" spans="1:5" x14ac:dyDescent="0.3">
      <c r="A102" t="s">
        <v>126</v>
      </c>
      <c r="B102">
        <v>18</v>
      </c>
      <c r="C102" t="s">
        <v>16</v>
      </c>
      <c r="D102">
        <v>58.5</v>
      </c>
      <c r="E102">
        <v>64</v>
      </c>
    </row>
    <row r="103" spans="1:5" x14ac:dyDescent="0.3">
      <c r="A103" t="s">
        <v>127</v>
      </c>
      <c r="B103">
        <v>26</v>
      </c>
      <c r="C103" t="s">
        <v>24</v>
      </c>
      <c r="D103">
        <v>45.4</v>
      </c>
      <c r="E103">
        <v>31</v>
      </c>
    </row>
    <row r="104" spans="1:5" hidden="1" x14ac:dyDescent="0.3">
      <c r="A104" t="s">
        <v>128</v>
      </c>
      <c r="B104">
        <v>27</v>
      </c>
      <c r="C104" t="s">
        <v>16</v>
      </c>
      <c r="D104">
        <v>74.8</v>
      </c>
      <c r="E104">
        <v>0</v>
      </c>
    </row>
    <row r="105" spans="1:5" x14ac:dyDescent="0.3">
      <c r="A105" t="s">
        <v>129</v>
      </c>
      <c r="B105">
        <v>23</v>
      </c>
      <c r="C105" t="s">
        <v>16</v>
      </c>
      <c r="D105">
        <v>66.8</v>
      </c>
      <c r="E105">
        <v>57</v>
      </c>
    </row>
    <row r="106" spans="1:5" x14ac:dyDescent="0.3">
      <c r="A106" t="s">
        <v>130</v>
      </c>
      <c r="B106">
        <v>28</v>
      </c>
      <c r="C106" t="s">
        <v>24</v>
      </c>
      <c r="D106">
        <v>33.200000000000003</v>
      </c>
      <c r="E106">
        <v>90</v>
      </c>
    </row>
    <row r="107" spans="1:5" x14ac:dyDescent="0.3">
      <c r="A107" t="s">
        <v>131</v>
      </c>
      <c r="B107">
        <v>33</v>
      </c>
      <c r="C107" t="s">
        <v>24</v>
      </c>
      <c r="D107">
        <v>68.3</v>
      </c>
      <c r="E107">
        <v>230</v>
      </c>
    </row>
    <row r="108" spans="1:5" x14ac:dyDescent="0.3">
      <c r="A108" t="s">
        <v>132</v>
      </c>
      <c r="B108">
        <v>45</v>
      </c>
      <c r="C108" t="s">
        <v>16</v>
      </c>
      <c r="D108">
        <v>36.1</v>
      </c>
      <c r="E108">
        <v>177</v>
      </c>
    </row>
    <row r="109" spans="1:5" x14ac:dyDescent="0.3">
      <c r="A109" t="s">
        <v>133</v>
      </c>
      <c r="B109">
        <v>31</v>
      </c>
      <c r="C109" t="s">
        <v>24</v>
      </c>
      <c r="D109">
        <v>36.4</v>
      </c>
      <c r="E109">
        <v>109</v>
      </c>
    </row>
    <row r="110" spans="1:5" x14ac:dyDescent="0.3">
      <c r="A110" t="s">
        <v>134</v>
      </c>
      <c r="B110">
        <v>32</v>
      </c>
      <c r="C110" t="s">
        <v>16</v>
      </c>
      <c r="D110">
        <v>26</v>
      </c>
      <c r="E110">
        <v>53</v>
      </c>
    </row>
    <row r="111" spans="1:5" x14ac:dyDescent="0.3">
      <c r="A111" t="s">
        <v>135</v>
      </c>
      <c r="B111">
        <v>29</v>
      </c>
      <c r="C111" t="s">
        <v>16</v>
      </c>
      <c r="D111">
        <v>44.8</v>
      </c>
      <c r="E111">
        <v>104</v>
      </c>
    </row>
    <row r="112" spans="1:5" x14ac:dyDescent="0.3">
      <c r="A112" t="s">
        <v>136</v>
      </c>
      <c r="B112">
        <v>16</v>
      </c>
      <c r="C112" t="s">
        <v>24</v>
      </c>
      <c r="D112">
        <v>86.8</v>
      </c>
      <c r="E112">
        <v>77</v>
      </c>
    </row>
    <row r="113" spans="1:5" x14ac:dyDescent="0.3">
      <c r="A113" t="s">
        <v>137</v>
      </c>
      <c r="B113">
        <v>29</v>
      </c>
      <c r="C113" t="s">
        <v>16</v>
      </c>
      <c r="D113">
        <v>42.3</v>
      </c>
      <c r="E113">
        <v>212</v>
      </c>
    </row>
    <row r="114" spans="1:5" x14ac:dyDescent="0.3">
      <c r="A114" t="s">
        <v>138</v>
      </c>
      <c r="B114">
        <v>30</v>
      </c>
      <c r="C114" t="s">
        <v>16</v>
      </c>
      <c r="D114">
        <v>35.9</v>
      </c>
      <c r="E114">
        <v>78</v>
      </c>
    </row>
    <row r="115" spans="1:5" x14ac:dyDescent="0.3">
      <c r="A115" t="s">
        <v>139</v>
      </c>
      <c r="B115">
        <v>49</v>
      </c>
      <c r="C115" t="s">
        <v>16</v>
      </c>
      <c r="D115">
        <v>56.7</v>
      </c>
      <c r="E115">
        <v>101</v>
      </c>
    </row>
    <row r="116" spans="1:5" hidden="1" x14ac:dyDescent="0.3">
      <c r="A116" t="s">
        <v>140</v>
      </c>
      <c r="B116">
        <v>28</v>
      </c>
      <c r="C116" t="s">
        <v>16</v>
      </c>
      <c r="D116">
        <v>37.299999999999997</v>
      </c>
      <c r="E116">
        <v>0</v>
      </c>
    </row>
    <row r="117" spans="1:5" x14ac:dyDescent="0.3">
      <c r="A117" t="s">
        <v>141</v>
      </c>
      <c r="B117">
        <v>32</v>
      </c>
      <c r="C117" t="s">
        <v>16</v>
      </c>
      <c r="D117">
        <v>52.6</v>
      </c>
      <c r="E117">
        <v>99</v>
      </c>
    </row>
    <row r="118" spans="1:5" x14ac:dyDescent="0.3">
      <c r="A118" t="s">
        <v>142</v>
      </c>
      <c r="B118">
        <v>29</v>
      </c>
      <c r="C118" t="s">
        <v>16</v>
      </c>
      <c r="D118">
        <v>55.1</v>
      </c>
      <c r="E118">
        <v>149</v>
      </c>
    </row>
    <row r="119" spans="1:5" x14ac:dyDescent="0.3">
      <c r="A119" t="s">
        <v>143</v>
      </c>
      <c r="B119">
        <v>20</v>
      </c>
      <c r="C119" t="s">
        <v>16</v>
      </c>
      <c r="D119">
        <v>56.2</v>
      </c>
      <c r="E119">
        <v>26</v>
      </c>
    </row>
    <row r="120" spans="1:5" hidden="1" x14ac:dyDescent="0.3">
      <c r="A120" t="s">
        <v>144</v>
      </c>
      <c r="B120">
        <v>39</v>
      </c>
      <c r="C120" t="s">
        <v>16</v>
      </c>
      <c r="D120">
        <v>100</v>
      </c>
      <c r="E120">
        <v>104</v>
      </c>
    </row>
    <row r="121" spans="1:5" x14ac:dyDescent="0.3">
      <c r="A121" t="s">
        <v>145</v>
      </c>
      <c r="B121">
        <v>36</v>
      </c>
      <c r="C121" t="s">
        <v>24</v>
      </c>
      <c r="D121">
        <v>47.2</v>
      </c>
      <c r="E121">
        <v>156</v>
      </c>
    </row>
    <row r="122" spans="1:5" hidden="1" x14ac:dyDescent="0.3">
      <c r="A122" t="s">
        <v>146</v>
      </c>
      <c r="B122">
        <v>36</v>
      </c>
      <c r="C122" t="s">
        <v>24</v>
      </c>
      <c r="D122">
        <v>52.1</v>
      </c>
      <c r="E122">
        <v>0</v>
      </c>
    </row>
    <row r="123" spans="1:5" x14ac:dyDescent="0.3">
      <c r="A123" t="s">
        <v>147</v>
      </c>
      <c r="B123">
        <v>22</v>
      </c>
      <c r="C123" t="s">
        <v>24</v>
      </c>
      <c r="D123">
        <v>73</v>
      </c>
      <c r="E123">
        <v>190</v>
      </c>
    </row>
    <row r="124" spans="1:5" x14ac:dyDescent="0.3">
      <c r="A124" t="s">
        <v>148</v>
      </c>
      <c r="B124">
        <v>41</v>
      </c>
      <c r="C124" t="s">
        <v>24</v>
      </c>
      <c r="D124">
        <v>80.400000000000006</v>
      </c>
      <c r="E124">
        <v>69</v>
      </c>
    </row>
    <row r="125" spans="1:5" x14ac:dyDescent="0.3">
      <c r="A125" t="s">
        <v>149</v>
      </c>
      <c r="B125">
        <v>18</v>
      </c>
      <c r="C125" t="s">
        <v>16</v>
      </c>
      <c r="D125">
        <v>40.9</v>
      </c>
      <c r="E125">
        <v>78</v>
      </c>
    </row>
    <row r="126" spans="1:5" x14ac:dyDescent="0.3">
      <c r="A126" t="s">
        <v>150</v>
      </c>
      <c r="B126">
        <v>34</v>
      </c>
      <c r="C126" t="s">
        <v>16</v>
      </c>
      <c r="D126">
        <v>70.8</v>
      </c>
      <c r="E126">
        <v>34</v>
      </c>
    </row>
    <row r="127" spans="1:5" x14ac:dyDescent="0.3">
      <c r="A127" t="s">
        <v>151</v>
      </c>
      <c r="B127">
        <v>47</v>
      </c>
      <c r="C127" t="s">
        <v>24</v>
      </c>
      <c r="D127">
        <v>49.3</v>
      </c>
      <c r="E127">
        <v>157</v>
      </c>
    </row>
    <row r="128" spans="1:5" x14ac:dyDescent="0.3">
      <c r="A128" t="s">
        <v>152</v>
      </c>
      <c r="B128">
        <v>22</v>
      </c>
      <c r="C128" t="s">
        <v>24</v>
      </c>
      <c r="D128">
        <v>67.400000000000006</v>
      </c>
      <c r="E128">
        <v>271</v>
      </c>
    </row>
    <row r="129" spans="1:5" x14ac:dyDescent="0.3">
      <c r="A129" t="s">
        <v>153</v>
      </c>
      <c r="B129">
        <v>25</v>
      </c>
      <c r="C129" t="s">
        <v>24</v>
      </c>
      <c r="D129">
        <v>59.5</v>
      </c>
      <c r="E129">
        <v>143</v>
      </c>
    </row>
    <row r="130" spans="1:5" x14ac:dyDescent="0.3">
      <c r="A130" t="s">
        <v>154</v>
      </c>
      <c r="B130">
        <v>30</v>
      </c>
      <c r="C130" t="s">
        <v>16</v>
      </c>
      <c r="D130">
        <v>40.9</v>
      </c>
      <c r="E130">
        <v>43</v>
      </c>
    </row>
    <row r="131" spans="1:5" x14ac:dyDescent="0.3">
      <c r="A131" t="s">
        <v>155</v>
      </c>
      <c r="B131">
        <v>25</v>
      </c>
      <c r="C131" t="s">
        <v>16</v>
      </c>
      <c r="D131">
        <v>56.7</v>
      </c>
      <c r="E131">
        <v>187</v>
      </c>
    </row>
    <row r="132" spans="1:5" x14ac:dyDescent="0.3">
      <c r="A132" t="s">
        <v>156</v>
      </c>
      <c r="B132">
        <v>17</v>
      </c>
      <c r="C132" t="s">
        <v>16</v>
      </c>
      <c r="D132">
        <v>79</v>
      </c>
      <c r="E132">
        <v>96</v>
      </c>
    </row>
    <row r="133" spans="1:5" x14ac:dyDescent="0.3">
      <c r="A133" t="s">
        <v>157</v>
      </c>
      <c r="B133">
        <v>30</v>
      </c>
      <c r="C133" t="s">
        <v>16</v>
      </c>
      <c r="D133">
        <v>60</v>
      </c>
      <c r="E133">
        <v>193</v>
      </c>
    </row>
    <row r="134" spans="1:5" x14ac:dyDescent="0.3">
      <c r="A134" t="s">
        <v>158</v>
      </c>
      <c r="B134">
        <v>21</v>
      </c>
      <c r="C134" t="s">
        <v>24</v>
      </c>
      <c r="D134">
        <v>56.1</v>
      </c>
      <c r="E134">
        <v>152</v>
      </c>
    </row>
    <row r="135" spans="1:5" hidden="1" x14ac:dyDescent="0.3">
      <c r="A135" t="s">
        <v>159</v>
      </c>
      <c r="B135">
        <v>33</v>
      </c>
      <c r="C135" t="s">
        <v>24</v>
      </c>
      <c r="D135">
        <v>39.4</v>
      </c>
      <c r="E135">
        <v>0</v>
      </c>
    </row>
    <row r="136" spans="1:5" x14ac:dyDescent="0.3">
      <c r="A136" t="s">
        <v>160</v>
      </c>
      <c r="B136">
        <v>22</v>
      </c>
      <c r="C136" t="s">
        <v>16</v>
      </c>
      <c r="D136">
        <v>64.099999999999994</v>
      </c>
      <c r="E136">
        <v>47</v>
      </c>
    </row>
    <row r="137" spans="1:5" x14ac:dyDescent="0.3">
      <c r="A137" t="s">
        <v>161</v>
      </c>
      <c r="B137">
        <v>42</v>
      </c>
      <c r="C137" t="s">
        <v>28</v>
      </c>
      <c r="D137">
        <v>68.8</v>
      </c>
      <c r="E137">
        <v>195</v>
      </c>
    </row>
    <row r="138" spans="1:5" x14ac:dyDescent="0.3">
      <c r="A138" t="s">
        <v>162</v>
      </c>
      <c r="B138">
        <v>23</v>
      </c>
      <c r="C138" t="s">
        <v>24</v>
      </c>
      <c r="D138">
        <v>50.5</v>
      </c>
      <c r="E138">
        <v>107</v>
      </c>
    </row>
    <row r="139" spans="1:5" x14ac:dyDescent="0.3">
      <c r="A139" t="s">
        <v>163</v>
      </c>
      <c r="B139">
        <v>27</v>
      </c>
      <c r="C139" t="s">
        <v>16</v>
      </c>
      <c r="D139">
        <v>34.4</v>
      </c>
      <c r="E139">
        <v>30</v>
      </c>
    </row>
    <row r="140" spans="1:5" x14ac:dyDescent="0.3">
      <c r="A140" t="s">
        <v>164</v>
      </c>
      <c r="B140">
        <v>36</v>
      </c>
      <c r="C140" t="s">
        <v>16</v>
      </c>
      <c r="D140">
        <v>79.099999999999994</v>
      </c>
      <c r="E140">
        <v>86</v>
      </c>
    </row>
    <row r="141" spans="1:5" hidden="1" x14ac:dyDescent="0.3">
      <c r="A141" t="s">
        <v>165</v>
      </c>
      <c r="B141">
        <v>20</v>
      </c>
      <c r="C141" t="s">
        <v>16</v>
      </c>
      <c r="D141">
        <v>56.2</v>
      </c>
      <c r="E141">
        <v>0</v>
      </c>
    </row>
    <row r="142" spans="1:5" x14ac:dyDescent="0.3">
      <c r="A142" t="s">
        <v>166</v>
      </c>
      <c r="B142">
        <v>31</v>
      </c>
      <c r="C142" t="s">
        <v>16</v>
      </c>
      <c r="D142">
        <v>41.2</v>
      </c>
      <c r="E142">
        <v>81</v>
      </c>
    </row>
    <row r="143" spans="1:5" x14ac:dyDescent="0.3">
      <c r="A143" t="s">
        <v>167</v>
      </c>
      <c r="B143">
        <v>40</v>
      </c>
      <c r="C143" t="s">
        <v>16</v>
      </c>
      <c r="D143">
        <v>73.599999999999994</v>
      </c>
      <c r="E143">
        <v>255</v>
      </c>
    </row>
    <row r="144" spans="1:5" x14ac:dyDescent="0.3">
      <c r="A144" t="s">
        <v>168</v>
      </c>
      <c r="B144">
        <v>17</v>
      </c>
      <c r="C144" t="s">
        <v>16</v>
      </c>
      <c r="D144">
        <v>79.599999999999994</v>
      </c>
      <c r="E144">
        <v>185</v>
      </c>
    </row>
    <row r="145" spans="1:5" x14ac:dyDescent="0.3">
      <c r="A145" t="s">
        <v>169</v>
      </c>
      <c r="B145">
        <v>31</v>
      </c>
      <c r="C145" t="s">
        <v>16</v>
      </c>
      <c r="D145">
        <v>67.099999999999994</v>
      </c>
      <c r="E145">
        <v>276</v>
      </c>
    </row>
    <row r="146" spans="1:5" x14ac:dyDescent="0.3">
      <c r="A146" t="s">
        <v>170</v>
      </c>
      <c r="B146">
        <v>32</v>
      </c>
      <c r="C146" t="s">
        <v>16</v>
      </c>
      <c r="D146">
        <v>54.4</v>
      </c>
      <c r="E146">
        <v>168</v>
      </c>
    </row>
    <row r="147" spans="1:5" x14ac:dyDescent="0.3">
      <c r="A147" t="s">
        <v>171</v>
      </c>
      <c r="B147">
        <v>36</v>
      </c>
      <c r="C147" t="s">
        <v>24</v>
      </c>
      <c r="D147">
        <v>36.4</v>
      </c>
      <c r="E147">
        <v>160</v>
      </c>
    </row>
    <row r="148" spans="1:5" hidden="1" x14ac:dyDescent="0.3">
      <c r="A148" t="s">
        <v>172</v>
      </c>
      <c r="B148">
        <v>20</v>
      </c>
      <c r="C148" t="s">
        <v>16</v>
      </c>
      <c r="D148">
        <v>100</v>
      </c>
      <c r="E148">
        <v>253</v>
      </c>
    </row>
    <row r="149" spans="1:5" x14ac:dyDescent="0.3">
      <c r="A149" t="s">
        <v>173</v>
      </c>
      <c r="B149">
        <v>19</v>
      </c>
      <c r="C149" t="s">
        <v>24</v>
      </c>
      <c r="D149">
        <v>44.2</v>
      </c>
      <c r="E149">
        <v>127</v>
      </c>
    </row>
    <row r="150" spans="1:5" x14ac:dyDescent="0.3">
      <c r="A150" t="s">
        <v>174</v>
      </c>
      <c r="B150">
        <v>34</v>
      </c>
      <c r="C150" t="s">
        <v>16</v>
      </c>
      <c r="D150">
        <v>64.8</v>
      </c>
      <c r="E150">
        <v>104</v>
      </c>
    </row>
    <row r="151" spans="1:5" x14ac:dyDescent="0.3">
      <c r="A151" t="s">
        <v>175</v>
      </c>
      <c r="B151">
        <v>32</v>
      </c>
      <c r="C151" t="s">
        <v>28</v>
      </c>
      <c r="D151">
        <v>45.4</v>
      </c>
      <c r="E151">
        <v>177</v>
      </c>
    </row>
    <row r="152" spans="1:5" x14ac:dyDescent="0.3">
      <c r="A152" t="s">
        <v>176</v>
      </c>
      <c r="B152">
        <v>32</v>
      </c>
      <c r="C152" t="s">
        <v>16</v>
      </c>
      <c r="D152">
        <v>37.9</v>
      </c>
      <c r="E152">
        <v>216</v>
      </c>
    </row>
    <row r="153" spans="1:5" x14ac:dyDescent="0.3">
      <c r="A153" t="s">
        <v>177</v>
      </c>
      <c r="B153">
        <v>32</v>
      </c>
      <c r="C153" t="s">
        <v>16</v>
      </c>
      <c r="D153">
        <v>51</v>
      </c>
      <c r="E153">
        <v>72</v>
      </c>
    </row>
    <row r="154" spans="1:5" x14ac:dyDescent="0.3">
      <c r="A154" t="s">
        <v>178</v>
      </c>
      <c r="B154">
        <v>24</v>
      </c>
      <c r="C154" t="s">
        <v>24</v>
      </c>
      <c r="D154">
        <v>50.4</v>
      </c>
      <c r="E154">
        <v>57</v>
      </c>
    </row>
    <row r="155" spans="1:5" x14ac:dyDescent="0.3">
      <c r="A155" t="s">
        <v>179</v>
      </c>
      <c r="B155">
        <v>31</v>
      </c>
      <c r="C155" t="s">
        <v>24</v>
      </c>
      <c r="D155">
        <v>48.5</v>
      </c>
      <c r="E155">
        <v>125</v>
      </c>
    </row>
    <row r="156" spans="1:5" x14ac:dyDescent="0.3">
      <c r="A156" t="s">
        <v>180</v>
      </c>
      <c r="B156">
        <v>32</v>
      </c>
      <c r="C156" t="s">
        <v>24</v>
      </c>
      <c r="D156">
        <v>77.900000000000006</v>
      </c>
      <c r="E156">
        <v>174</v>
      </c>
    </row>
    <row r="157" spans="1:5" x14ac:dyDescent="0.3">
      <c r="A157" t="s">
        <v>181</v>
      </c>
      <c r="B157">
        <v>24</v>
      </c>
      <c r="C157" t="s">
        <v>16</v>
      </c>
      <c r="D157">
        <v>33.1</v>
      </c>
      <c r="E157">
        <v>113</v>
      </c>
    </row>
    <row r="158" spans="1:5" x14ac:dyDescent="0.3">
      <c r="A158" t="s">
        <v>182</v>
      </c>
      <c r="B158">
        <v>44</v>
      </c>
      <c r="C158" t="s">
        <v>16</v>
      </c>
      <c r="D158">
        <v>44.6</v>
      </c>
      <c r="E158">
        <v>8</v>
      </c>
    </row>
    <row r="159" spans="1:5" x14ac:dyDescent="0.3">
      <c r="A159" t="s">
        <v>183</v>
      </c>
      <c r="B159">
        <v>33</v>
      </c>
      <c r="C159" t="s">
        <v>24</v>
      </c>
      <c r="D159">
        <v>37.700000000000003</v>
      </c>
      <c r="E159">
        <v>219</v>
      </c>
    </row>
    <row r="160" spans="1:5" x14ac:dyDescent="0.3">
      <c r="A160" t="s">
        <v>184</v>
      </c>
      <c r="B160">
        <v>20</v>
      </c>
      <c r="C160" t="s">
        <v>24</v>
      </c>
      <c r="D160">
        <v>58.2</v>
      </c>
      <c r="E160">
        <v>55</v>
      </c>
    </row>
    <row r="161" spans="1:5" x14ac:dyDescent="0.3">
      <c r="A161" t="s">
        <v>185</v>
      </c>
      <c r="B161">
        <v>35</v>
      </c>
      <c r="C161" t="s">
        <v>24</v>
      </c>
      <c r="D161">
        <v>55.6</v>
      </c>
      <c r="E161">
        <v>88</v>
      </c>
    </row>
    <row r="162" spans="1:5" x14ac:dyDescent="0.3">
      <c r="A162" t="s">
        <v>186</v>
      </c>
      <c r="B162">
        <v>22</v>
      </c>
      <c r="C162" t="s">
        <v>24</v>
      </c>
      <c r="D162">
        <v>45.5</v>
      </c>
      <c r="E162">
        <v>33</v>
      </c>
    </row>
    <row r="163" spans="1:5" x14ac:dyDescent="0.3">
      <c r="A163" t="s">
        <v>187</v>
      </c>
      <c r="B163">
        <v>36</v>
      </c>
      <c r="C163" t="s">
        <v>16</v>
      </c>
      <c r="D163">
        <v>52.8</v>
      </c>
      <c r="E163">
        <v>291</v>
      </c>
    </row>
    <row r="164" spans="1:5" x14ac:dyDescent="0.3">
      <c r="A164" t="s">
        <v>188</v>
      </c>
      <c r="B164">
        <v>39</v>
      </c>
      <c r="C164" t="s">
        <v>24</v>
      </c>
      <c r="D164">
        <v>43.7</v>
      </c>
      <c r="E164">
        <v>103</v>
      </c>
    </row>
    <row r="165" spans="1:5" x14ac:dyDescent="0.3">
      <c r="A165" t="s">
        <v>189</v>
      </c>
      <c r="B165">
        <v>23</v>
      </c>
      <c r="C165" t="s">
        <v>16</v>
      </c>
      <c r="D165">
        <v>43.2</v>
      </c>
      <c r="E165">
        <v>23</v>
      </c>
    </row>
    <row r="166" spans="1:5" x14ac:dyDescent="0.3">
      <c r="A166" t="s">
        <v>190</v>
      </c>
      <c r="B166">
        <v>37</v>
      </c>
      <c r="C166" t="s">
        <v>16</v>
      </c>
      <c r="D166">
        <v>70.099999999999994</v>
      </c>
      <c r="E166">
        <v>176</v>
      </c>
    </row>
    <row r="167" spans="1:5" x14ac:dyDescent="0.3">
      <c r="A167" t="s">
        <v>191</v>
      </c>
      <c r="B167">
        <v>33</v>
      </c>
      <c r="C167" t="s">
        <v>16</v>
      </c>
      <c r="D167">
        <v>42.6</v>
      </c>
      <c r="E167">
        <v>152</v>
      </c>
    </row>
    <row r="168" spans="1:5" x14ac:dyDescent="0.3">
      <c r="A168" t="s">
        <v>192</v>
      </c>
      <c r="B168">
        <v>36</v>
      </c>
      <c r="C168" t="s">
        <v>16</v>
      </c>
      <c r="D168">
        <v>73.2</v>
      </c>
      <c r="E168">
        <v>114</v>
      </c>
    </row>
    <row r="169" spans="1:5" x14ac:dyDescent="0.3">
      <c r="A169" t="s">
        <v>193</v>
      </c>
      <c r="B169">
        <v>45</v>
      </c>
      <c r="C169" t="s">
        <v>16</v>
      </c>
      <c r="D169">
        <v>49.6</v>
      </c>
      <c r="E169">
        <v>174</v>
      </c>
    </row>
    <row r="170" spans="1:5" x14ac:dyDescent="0.3">
      <c r="A170" t="s">
        <v>194</v>
      </c>
      <c r="B170">
        <v>28</v>
      </c>
      <c r="C170" t="s">
        <v>16</v>
      </c>
      <c r="D170">
        <v>50.3</v>
      </c>
      <c r="E170">
        <v>35</v>
      </c>
    </row>
    <row r="171" spans="1:5" x14ac:dyDescent="0.3">
      <c r="A171" t="s">
        <v>195</v>
      </c>
      <c r="B171">
        <v>23</v>
      </c>
      <c r="C171" t="s">
        <v>24</v>
      </c>
      <c r="D171">
        <v>44.2</v>
      </c>
      <c r="E171">
        <v>53</v>
      </c>
    </row>
    <row r="172" spans="1:5" hidden="1" x14ac:dyDescent="0.3">
      <c r="A172" t="s">
        <v>196</v>
      </c>
      <c r="B172">
        <v>22</v>
      </c>
      <c r="C172" t="s">
        <v>16</v>
      </c>
      <c r="D172">
        <v>61.2</v>
      </c>
      <c r="E172">
        <v>0</v>
      </c>
    </row>
    <row r="173" spans="1:5" hidden="1" x14ac:dyDescent="0.3">
      <c r="A173" t="s">
        <v>197</v>
      </c>
      <c r="B173">
        <v>23</v>
      </c>
      <c r="C173" t="s">
        <v>24</v>
      </c>
      <c r="D173">
        <v>57.9</v>
      </c>
      <c r="E173">
        <v>0</v>
      </c>
    </row>
    <row r="174" spans="1:5" x14ac:dyDescent="0.3">
      <c r="A174" t="s">
        <v>198</v>
      </c>
      <c r="B174">
        <v>29</v>
      </c>
      <c r="C174" t="s">
        <v>16</v>
      </c>
      <c r="D174">
        <v>35.5</v>
      </c>
      <c r="E174">
        <v>224</v>
      </c>
    </row>
    <row r="175" spans="1:5" x14ac:dyDescent="0.3">
      <c r="A175" t="s">
        <v>199</v>
      </c>
      <c r="B175">
        <v>32</v>
      </c>
      <c r="C175" t="s">
        <v>16</v>
      </c>
      <c r="D175">
        <v>57.4</v>
      </c>
      <c r="E175">
        <v>226</v>
      </c>
    </row>
    <row r="176" spans="1:5" x14ac:dyDescent="0.3">
      <c r="A176" t="s">
        <v>200</v>
      </c>
      <c r="B176">
        <v>32</v>
      </c>
      <c r="C176" t="s">
        <v>24</v>
      </c>
      <c r="D176">
        <v>39.299999999999997</v>
      </c>
      <c r="E176">
        <v>96</v>
      </c>
    </row>
    <row r="177" spans="1:5" x14ac:dyDescent="0.3">
      <c r="A177" t="s">
        <v>201</v>
      </c>
      <c r="B177">
        <v>36</v>
      </c>
      <c r="C177" t="s">
        <v>16</v>
      </c>
      <c r="D177">
        <v>79.099999999999994</v>
      </c>
      <c r="E177">
        <v>253</v>
      </c>
    </row>
    <row r="178" spans="1:5" x14ac:dyDescent="0.3">
      <c r="A178" t="s">
        <v>202</v>
      </c>
      <c r="B178">
        <v>30</v>
      </c>
      <c r="C178" t="s">
        <v>16</v>
      </c>
      <c r="D178">
        <v>36.799999999999997</v>
      </c>
      <c r="E178">
        <v>84</v>
      </c>
    </row>
    <row r="179" spans="1:5" x14ac:dyDescent="0.3">
      <c r="A179" t="s">
        <v>203</v>
      </c>
      <c r="B179">
        <v>41</v>
      </c>
      <c r="C179" t="s">
        <v>16</v>
      </c>
      <c r="D179">
        <v>52.8</v>
      </c>
      <c r="E179">
        <v>95</v>
      </c>
    </row>
    <row r="180" spans="1:5" x14ac:dyDescent="0.3">
      <c r="A180" t="s">
        <v>204</v>
      </c>
      <c r="B180">
        <v>27</v>
      </c>
      <c r="C180" t="s">
        <v>16</v>
      </c>
      <c r="D180">
        <v>62.4</v>
      </c>
      <c r="E180">
        <v>111</v>
      </c>
    </row>
    <row r="181" spans="1:5" x14ac:dyDescent="0.3">
      <c r="A181" t="s">
        <v>205</v>
      </c>
      <c r="B181">
        <v>51</v>
      </c>
      <c r="C181" t="s">
        <v>28</v>
      </c>
      <c r="D181">
        <v>24.6</v>
      </c>
      <c r="E181">
        <v>62</v>
      </c>
    </row>
    <row r="182" spans="1:5" x14ac:dyDescent="0.3">
      <c r="A182" t="s">
        <v>206</v>
      </c>
      <c r="B182">
        <v>35</v>
      </c>
      <c r="C182" t="s">
        <v>16</v>
      </c>
      <c r="D182">
        <v>75.599999999999994</v>
      </c>
      <c r="E182">
        <v>118</v>
      </c>
    </row>
    <row r="183" spans="1:5" x14ac:dyDescent="0.3">
      <c r="A183" t="s">
        <v>207</v>
      </c>
      <c r="B183">
        <v>23</v>
      </c>
      <c r="C183" t="s">
        <v>24</v>
      </c>
      <c r="D183">
        <v>51.3</v>
      </c>
      <c r="E183">
        <v>175</v>
      </c>
    </row>
    <row r="184" spans="1:5" x14ac:dyDescent="0.3">
      <c r="A184" t="s">
        <v>208</v>
      </c>
      <c r="B184">
        <v>21</v>
      </c>
      <c r="C184" t="s">
        <v>16</v>
      </c>
      <c r="D184">
        <v>53.9</v>
      </c>
      <c r="E184">
        <v>120</v>
      </c>
    </row>
    <row r="185" spans="1:5" x14ac:dyDescent="0.3">
      <c r="A185" t="s">
        <v>209</v>
      </c>
      <c r="B185">
        <v>33</v>
      </c>
      <c r="C185" t="s">
        <v>24</v>
      </c>
      <c r="D185">
        <v>79</v>
      </c>
      <c r="E185">
        <v>168</v>
      </c>
    </row>
    <row r="186" spans="1:5" x14ac:dyDescent="0.3">
      <c r="A186" t="s">
        <v>210</v>
      </c>
      <c r="B186">
        <v>28</v>
      </c>
      <c r="C186" t="s">
        <v>24</v>
      </c>
      <c r="D186">
        <v>59.1</v>
      </c>
      <c r="E186">
        <v>187</v>
      </c>
    </row>
    <row r="187" spans="1:5" x14ac:dyDescent="0.3">
      <c r="A187" t="s">
        <v>211</v>
      </c>
      <c r="B187">
        <v>35</v>
      </c>
      <c r="C187" t="s">
        <v>24</v>
      </c>
      <c r="D187">
        <v>43.7</v>
      </c>
      <c r="E187">
        <v>110</v>
      </c>
    </row>
    <row r="188" spans="1:5" x14ac:dyDescent="0.3">
      <c r="A188" t="s">
        <v>212</v>
      </c>
      <c r="B188">
        <v>33</v>
      </c>
      <c r="C188" t="s">
        <v>16</v>
      </c>
      <c r="D188">
        <v>28.1</v>
      </c>
      <c r="E188">
        <v>25</v>
      </c>
    </row>
    <row r="189" spans="1:5" hidden="1" x14ac:dyDescent="0.3">
      <c r="A189" t="s">
        <v>213</v>
      </c>
      <c r="B189">
        <v>29</v>
      </c>
      <c r="C189" t="s">
        <v>16</v>
      </c>
      <c r="D189">
        <v>66.8</v>
      </c>
      <c r="E189">
        <v>0</v>
      </c>
    </row>
    <row r="190" spans="1:5" x14ac:dyDescent="0.3">
      <c r="A190" t="s">
        <v>214</v>
      </c>
      <c r="B190">
        <v>23</v>
      </c>
      <c r="C190" t="s">
        <v>16</v>
      </c>
      <c r="D190">
        <v>48.6</v>
      </c>
      <c r="E190">
        <v>91</v>
      </c>
    </row>
    <row r="191" spans="1:5" x14ac:dyDescent="0.3">
      <c r="A191" t="s">
        <v>215</v>
      </c>
      <c r="B191">
        <v>17</v>
      </c>
      <c r="C191" t="s">
        <v>24</v>
      </c>
      <c r="D191">
        <v>36</v>
      </c>
      <c r="E191">
        <v>58</v>
      </c>
    </row>
    <row r="192" spans="1:5" x14ac:dyDescent="0.3">
      <c r="A192" t="s">
        <v>216</v>
      </c>
      <c r="B192">
        <v>26</v>
      </c>
      <c r="C192" t="s">
        <v>24</v>
      </c>
      <c r="D192">
        <v>30.9</v>
      </c>
      <c r="E192">
        <v>101</v>
      </c>
    </row>
    <row r="193" spans="1:5" x14ac:dyDescent="0.3">
      <c r="A193" t="s">
        <v>217</v>
      </c>
      <c r="B193">
        <v>36</v>
      </c>
      <c r="C193" t="s">
        <v>24</v>
      </c>
      <c r="D193">
        <v>69.599999999999994</v>
      </c>
      <c r="E193">
        <v>118</v>
      </c>
    </row>
    <row r="194" spans="1:5" x14ac:dyDescent="0.3">
      <c r="A194" t="s">
        <v>218</v>
      </c>
      <c r="B194">
        <v>31</v>
      </c>
      <c r="C194" t="s">
        <v>16</v>
      </c>
      <c r="D194">
        <v>41.9</v>
      </c>
      <c r="E194">
        <v>295</v>
      </c>
    </row>
    <row r="195" spans="1:5" hidden="1" x14ac:dyDescent="0.3">
      <c r="A195" t="s">
        <v>219</v>
      </c>
      <c r="B195">
        <v>20</v>
      </c>
      <c r="C195" t="s">
        <v>24</v>
      </c>
      <c r="D195">
        <v>45.1</v>
      </c>
      <c r="E195">
        <v>0</v>
      </c>
    </row>
    <row r="196" spans="1:5" hidden="1" x14ac:dyDescent="0.3">
      <c r="A196" t="s">
        <v>220</v>
      </c>
      <c r="B196">
        <v>31</v>
      </c>
      <c r="C196" t="s">
        <v>24</v>
      </c>
      <c r="D196">
        <v>50.2</v>
      </c>
      <c r="E196">
        <v>0</v>
      </c>
    </row>
    <row r="197" spans="1:5" x14ac:dyDescent="0.3">
      <c r="A197" t="s">
        <v>221</v>
      </c>
      <c r="B197">
        <v>33</v>
      </c>
      <c r="C197" t="s">
        <v>16</v>
      </c>
      <c r="D197">
        <v>54</v>
      </c>
      <c r="E197">
        <v>148</v>
      </c>
    </row>
    <row r="198" spans="1:5" x14ac:dyDescent="0.3">
      <c r="A198" t="s">
        <v>222</v>
      </c>
      <c r="B198">
        <v>22</v>
      </c>
      <c r="C198" t="s">
        <v>16</v>
      </c>
      <c r="D198">
        <v>48.3</v>
      </c>
      <c r="E198">
        <v>62</v>
      </c>
    </row>
    <row r="199" spans="1:5" x14ac:dyDescent="0.3">
      <c r="A199" t="s">
        <v>223</v>
      </c>
      <c r="B199">
        <v>31</v>
      </c>
      <c r="C199" t="s">
        <v>24</v>
      </c>
      <c r="D199">
        <v>62.7</v>
      </c>
      <c r="E199">
        <v>132</v>
      </c>
    </row>
    <row r="200" spans="1:5" x14ac:dyDescent="0.3">
      <c r="A200" t="s">
        <v>224</v>
      </c>
      <c r="B200">
        <v>30</v>
      </c>
      <c r="C200" t="s">
        <v>24</v>
      </c>
      <c r="D200">
        <v>46.4</v>
      </c>
      <c r="E200">
        <v>129</v>
      </c>
    </row>
    <row r="201" spans="1:5" x14ac:dyDescent="0.3">
      <c r="A201" t="s">
        <v>225</v>
      </c>
      <c r="B201">
        <v>20</v>
      </c>
      <c r="C201" t="s">
        <v>24</v>
      </c>
      <c r="D201">
        <v>44.7</v>
      </c>
      <c r="E201">
        <v>189</v>
      </c>
    </row>
    <row r="202" spans="1:5" hidden="1" x14ac:dyDescent="0.3">
      <c r="A202" t="s">
        <v>226</v>
      </c>
      <c r="B202">
        <v>32</v>
      </c>
      <c r="C202" t="s">
        <v>16</v>
      </c>
      <c r="D202">
        <v>31.8</v>
      </c>
      <c r="E202">
        <v>0</v>
      </c>
    </row>
    <row r="203" spans="1:5" x14ac:dyDescent="0.3">
      <c r="A203" t="s">
        <v>227</v>
      </c>
      <c r="B203">
        <v>34</v>
      </c>
      <c r="C203" t="s">
        <v>24</v>
      </c>
      <c r="D203">
        <v>66.7</v>
      </c>
      <c r="E203">
        <v>84</v>
      </c>
    </row>
    <row r="204" spans="1:5" x14ac:dyDescent="0.3">
      <c r="A204" t="s">
        <v>228</v>
      </c>
      <c r="B204">
        <v>38</v>
      </c>
      <c r="C204" t="s">
        <v>16</v>
      </c>
      <c r="D204">
        <v>57</v>
      </c>
      <c r="E204">
        <v>140</v>
      </c>
    </row>
    <row r="205" spans="1:5" x14ac:dyDescent="0.3">
      <c r="A205" t="s">
        <v>229</v>
      </c>
      <c r="B205">
        <v>38</v>
      </c>
      <c r="C205" t="s">
        <v>16</v>
      </c>
      <c r="D205">
        <v>52.5</v>
      </c>
      <c r="E205">
        <v>170</v>
      </c>
    </row>
    <row r="206" spans="1:5" x14ac:dyDescent="0.3">
      <c r="A206" t="s">
        <v>230</v>
      </c>
      <c r="B206">
        <v>18</v>
      </c>
      <c r="C206" t="s">
        <v>16</v>
      </c>
      <c r="D206">
        <v>50.1</v>
      </c>
      <c r="E206">
        <v>241</v>
      </c>
    </row>
    <row r="207" spans="1:5" x14ac:dyDescent="0.3">
      <c r="A207" t="s">
        <v>231</v>
      </c>
      <c r="B207">
        <v>22</v>
      </c>
      <c r="C207" t="s">
        <v>24</v>
      </c>
      <c r="D207">
        <v>59.9</v>
      </c>
      <c r="E207">
        <v>169</v>
      </c>
    </row>
    <row r="208" spans="1:5" x14ac:dyDescent="0.3">
      <c r="A208" t="s">
        <v>232</v>
      </c>
      <c r="B208">
        <v>34</v>
      </c>
      <c r="C208" t="s">
        <v>24</v>
      </c>
      <c r="D208">
        <v>47.6</v>
      </c>
      <c r="E208">
        <v>112</v>
      </c>
    </row>
    <row r="209" spans="1:5" x14ac:dyDescent="0.3">
      <c r="A209" t="s">
        <v>233</v>
      </c>
      <c r="B209">
        <v>34</v>
      </c>
      <c r="C209" t="s">
        <v>24</v>
      </c>
      <c r="D209">
        <v>54.6</v>
      </c>
      <c r="E209">
        <v>32</v>
      </c>
    </row>
    <row r="210" spans="1:5" x14ac:dyDescent="0.3">
      <c r="A210" t="s">
        <v>234</v>
      </c>
      <c r="B210">
        <v>34</v>
      </c>
      <c r="C210" t="s">
        <v>16</v>
      </c>
      <c r="D210">
        <v>43.4</v>
      </c>
      <c r="E210">
        <v>54</v>
      </c>
    </row>
    <row r="211" spans="1:5" x14ac:dyDescent="0.3">
      <c r="A211" t="s">
        <v>235</v>
      </c>
      <c r="B211">
        <v>60</v>
      </c>
      <c r="C211" t="s">
        <v>24</v>
      </c>
      <c r="D211">
        <v>36.9</v>
      </c>
      <c r="E211">
        <v>56</v>
      </c>
    </row>
    <row r="212" spans="1:5" x14ac:dyDescent="0.3">
      <c r="A212" t="s">
        <v>236</v>
      </c>
      <c r="B212">
        <v>34</v>
      </c>
      <c r="C212" t="s">
        <v>16</v>
      </c>
      <c r="D212">
        <v>39.1</v>
      </c>
      <c r="E212">
        <v>134</v>
      </c>
    </row>
    <row r="213" spans="1:5" x14ac:dyDescent="0.3">
      <c r="A213" t="s">
        <v>237</v>
      </c>
      <c r="B213">
        <v>39</v>
      </c>
      <c r="C213" t="s">
        <v>24</v>
      </c>
      <c r="D213">
        <v>54.3</v>
      </c>
      <c r="E213">
        <v>114</v>
      </c>
    </row>
    <row r="214" spans="1:5" x14ac:dyDescent="0.3">
      <c r="A214" t="s">
        <v>238</v>
      </c>
      <c r="B214">
        <v>37</v>
      </c>
      <c r="C214" t="s">
        <v>16</v>
      </c>
      <c r="D214">
        <v>65.400000000000006</v>
      </c>
      <c r="E214">
        <v>37</v>
      </c>
    </row>
    <row r="215" spans="1:5" x14ac:dyDescent="0.3">
      <c r="A215" t="s">
        <v>239</v>
      </c>
      <c r="B215">
        <v>35</v>
      </c>
      <c r="C215" t="s">
        <v>16</v>
      </c>
      <c r="D215">
        <v>54.6</v>
      </c>
      <c r="E215">
        <v>86</v>
      </c>
    </row>
    <row r="216" spans="1:5" x14ac:dyDescent="0.3">
      <c r="A216" t="s">
        <v>240</v>
      </c>
      <c r="B216">
        <v>27</v>
      </c>
      <c r="C216" t="s">
        <v>16</v>
      </c>
      <c r="D216">
        <v>40.6</v>
      </c>
      <c r="E216">
        <v>162</v>
      </c>
    </row>
    <row r="217" spans="1:5" x14ac:dyDescent="0.3">
      <c r="A217" t="s">
        <v>241</v>
      </c>
      <c r="B217">
        <v>36</v>
      </c>
      <c r="C217" t="s">
        <v>16</v>
      </c>
      <c r="D217">
        <v>45.4</v>
      </c>
      <c r="E217">
        <v>119</v>
      </c>
    </row>
    <row r="218" spans="1:5" hidden="1" x14ac:dyDescent="0.3">
      <c r="A218" t="s">
        <v>242</v>
      </c>
      <c r="B218">
        <v>23</v>
      </c>
      <c r="C218" t="s">
        <v>24</v>
      </c>
      <c r="D218">
        <v>100</v>
      </c>
      <c r="E218">
        <v>173</v>
      </c>
    </row>
    <row r="219" spans="1:5" x14ac:dyDescent="0.3">
      <c r="A219" t="s">
        <v>243</v>
      </c>
      <c r="B219">
        <v>28</v>
      </c>
      <c r="C219" t="s">
        <v>16</v>
      </c>
      <c r="D219">
        <v>32.6</v>
      </c>
      <c r="E219">
        <v>92</v>
      </c>
    </row>
    <row r="220" spans="1:5" x14ac:dyDescent="0.3">
      <c r="A220" t="s">
        <v>244</v>
      </c>
      <c r="B220">
        <v>26</v>
      </c>
      <c r="C220" t="s">
        <v>16</v>
      </c>
      <c r="D220">
        <v>38.1</v>
      </c>
      <c r="E220">
        <v>200</v>
      </c>
    </row>
    <row r="221" spans="1:5" x14ac:dyDescent="0.3">
      <c r="A221" t="s">
        <v>245</v>
      </c>
      <c r="B221">
        <v>30</v>
      </c>
      <c r="C221" t="s">
        <v>24</v>
      </c>
      <c r="D221">
        <v>57.5</v>
      </c>
      <c r="E221">
        <v>120</v>
      </c>
    </row>
    <row r="222" spans="1:5" x14ac:dyDescent="0.3">
      <c r="A222" t="s">
        <v>246</v>
      </c>
      <c r="B222">
        <v>48</v>
      </c>
      <c r="C222" t="s">
        <v>16</v>
      </c>
      <c r="D222">
        <v>70.8</v>
      </c>
      <c r="E222">
        <v>95</v>
      </c>
    </row>
    <row r="223" spans="1:5" x14ac:dyDescent="0.3">
      <c r="A223" t="s">
        <v>247</v>
      </c>
      <c r="B223">
        <v>16</v>
      </c>
      <c r="C223" t="s">
        <v>24</v>
      </c>
      <c r="D223">
        <v>46.8</v>
      </c>
      <c r="E223">
        <v>27</v>
      </c>
    </row>
    <row r="224" spans="1:5" x14ac:dyDescent="0.3">
      <c r="A224" t="s">
        <v>248</v>
      </c>
      <c r="B224">
        <v>35</v>
      </c>
      <c r="C224" t="s">
        <v>24</v>
      </c>
      <c r="D224">
        <v>64.2</v>
      </c>
      <c r="E224">
        <v>145</v>
      </c>
    </row>
    <row r="225" spans="1:5" hidden="1" x14ac:dyDescent="0.3">
      <c r="A225" t="s">
        <v>249</v>
      </c>
      <c r="B225">
        <v>17</v>
      </c>
      <c r="C225" t="s">
        <v>24</v>
      </c>
      <c r="D225">
        <v>46.6</v>
      </c>
      <c r="E225">
        <v>0</v>
      </c>
    </row>
    <row r="226" spans="1:5" x14ac:dyDescent="0.3">
      <c r="A226" t="s">
        <v>250</v>
      </c>
      <c r="B226">
        <v>26</v>
      </c>
      <c r="C226" t="s">
        <v>16</v>
      </c>
      <c r="D226">
        <v>56.6</v>
      </c>
      <c r="E226">
        <v>94</v>
      </c>
    </row>
    <row r="227" spans="1:5" x14ac:dyDescent="0.3">
      <c r="A227" t="s">
        <v>251</v>
      </c>
      <c r="B227">
        <v>38</v>
      </c>
      <c r="C227" t="s">
        <v>24</v>
      </c>
      <c r="D227">
        <v>56.3</v>
      </c>
      <c r="E227">
        <v>92</v>
      </c>
    </row>
    <row r="228" spans="1:5" x14ac:dyDescent="0.3">
      <c r="A228" t="s">
        <v>252</v>
      </c>
      <c r="B228">
        <v>30</v>
      </c>
      <c r="C228" t="s">
        <v>24</v>
      </c>
      <c r="D228">
        <v>72.900000000000006</v>
      </c>
      <c r="E228">
        <v>18</v>
      </c>
    </row>
    <row r="229" spans="1:5" x14ac:dyDescent="0.3">
      <c r="A229" t="s">
        <v>253</v>
      </c>
      <c r="B229">
        <v>21</v>
      </c>
      <c r="C229" t="s">
        <v>16</v>
      </c>
      <c r="D229">
        <v>56.6</v>
      </c>
      <c r="E229">
        <v>40</v>
      </c>
    </row>
    <row r="230" spans="1:5" x14ac:dyDescent="0.3">
      <c r="A230" t="s">
        <v>254</v>
      </c>
      <c r="B230">
        <v>24</v>
      </c>
      <c r="C230" t="s">
        <v>16</v>
      </c>
      <c r="D230">
        <v>49</v>
      </c>
      <c r="E230">
        <v>155</v>
      </c>
    </row>
    <row r="231" spans="1:5" x14ac:dyDescent="0.3">
      <c r="A231" t="s">
        <v>255</v>
      </c>
      <c r="B231">
        <v>35</v>
      </c>
      <c r="C231" t="s">
        <v>24</v>
      </c>
      <c r="D231">
        <v>32.700000000000003</v>
      </c>
      <c r="E231">
        <v>106</v>
      </c>
    </row>
    <row r="232" spans="1:5" x14ac:dyDescent="0.3">
      <c r="A232" t="s">
        <v>256</v>
      </c>
      <c r="B232">
        <v>24</v>
      </c>
      <c r="C232" t="s">
        <v>24</v>
      </c>
      <c r="D232">
        <v>36.5</v>
      </c>
      <c r="E232">
        <v>98</v>
      </c>
    </row>
    <row r="233" spans="1:5" x14ac:dyDescent="0.3">
      <c r="A233" t="s">
        <v>257</v>
      </c>
      <c r="B233">
        <v>31</v>
      </c>
      <c r="C233" t="s">
        <v>24</v>
      </c>
      <c r="D233">
        <v>58.5</v>
      </c>
      <c r="E233">
        <v>135</v>
      </c>
    </row>
    <row r="234" spans="1:5" x14ac:dyDescent="0.3">
      <c r="A234" t="s">
        <v>258</v>
      </c>
      <c r="B234">
        <v>30</v>
      </c>
      <c r="C234" t="s">
        <v>24</v>
      </c>
      <c r="D234">
        <v>60.7</v>
      </c>
      <c r="E234">
        <v>127</v>
      </c>
    </row>
    <row r="235" spans="1:5" x14ac:dyDescent="0.3">
      <c r="A235" t="s">
        <v>259</v>
      </c>
      <c r="B235">
        <v>24</v>
      </c>
      <c r="C235" t="s">
        <v>24</v>
      </c>
      <c r="D235">
        <v>58.8</v>
      </c>
      <c r="E235">
        <v>198</v>
      </c>
    </row>
    <row r="236" spans="1:5" x14ac:dyDescent="0.3">
      <c r="A236" t="s">
        <v>260</v>
      </c>
      <c r="B236">
        <v>47</v>
      </c>
      <c r="C236" t="s">
        <v>16</v>
      </c>
      <c r="D236">
        <v>44.1</v>
      </c>
      <c r="E236">
        <v>114</v>
      </c>
    </row>
    <row r="237" spans="1:5" hidden="1" x14ac:dyDescent="0.3">
      <c r="A237" t="s">
        <v>261</v>
      </c>
      <c r="B237">
        <v>35</v>
      </c>
      <c r="C237" t="s">
        <v>16</v>
      </c>
      <c r="D237">
        <v>42.1</v>
      </c>
      <c r="E237">
        <v>0</v>
      </c>
    </row>
    <row r="238" spans="1:5" x14ac:dyDescent="0.3">
      <c r="A238" t="s">
        <v>262</v>
      </c>
      <c r="B238">
        <v>16</v>
      </c>
      <c r="C238" t="s">
        <v>16</v>
      </c>
      <c r="D238">
        <v>55.5</v>
      </c>
      <c r="E238">
        <v>211</v>
      </c>
    </row>
    <row r="239" spans="1:5" x14ac:dyDescent="0.3">
      <c r="A239" t="s">
        <v>263</v>
      </c>
      <c r="B239">
        <v>31</v>
      </c>
      <c r="C239" t="s">
        <v>24</v>
      </c>
      <c r="D239">
        <v>46.3</v>
      </c>
      <c r="E239">
        <v>122</v>
      </c>
    </row>
    <row r="240" spans="1:5" x14ac:dyDescent="0.3">
      <c r="A240" t="s">
        <v>264</v>
      </c>
      <c r="B240">
        <v>24</v>
      </c>
      <c r="C240" t="s">
        <v>16</v>
      </c>
      <c r="D240">
        <v>48.5</v>
      </c>
      <c r="E240">
        <v>61</v>
      </c>
    </row>
    <row r="241" spans="1:5" x14ac:dyDescent="0.3">
      <c r="A241" t="s">
        <v>265</v>
      </c>
      <c r="B241">
        <v>36</v>
      </c>
      <c r="C241" t="s">
        <v>24</v>
      </c>
      <c r="D241">
        <v>49.9</v>
      </c>
      <c r="E241">
        <v>19</v>
      </c>
    </row>
    <row r="242" spans="1:5" x14ac:dyDescent="0.3">
      <c r="A242" t="s">
        <v>266</v>
      </c>
      <c r="B242">
        <v>23</v>
      </c>
      <c r="C242" t="s">
        <v>24</v>
      </c>
      <c r="D242">
        <v>69.099999999999994</v>
      </c>
      <c r="E242">
        <v>140</v>
      </c>
    </row>
    <row r="243" spans="1:5" x14ac:dyDescent="0.3">
      <c r="A243" t="s">
        <v>267</v>
      </c>
      <c r="B243">
        <v>29</v>
      </c>
      <c r="C243" t="s">
        <v>24</v>
      </c>
      <c r="D243">
        <v>60.6</v>
      </c>
      <c r="E243">
        <v>103</v>
      </c>
    </row>
    <row r="244" spans="1:5" x14ac:dyDescent="0.3">
      <c r="A244" t="s">
        <v>268</v>
      </c>
      <c r="B244">
        <v>34</v>
      </c>
      <c r="C244" t="s">
        <v>16</v>
      </c>
      <c r="D244">
        <v>82.7</v>
      </c>
      <c r="E244">
        <v>229</v>
      </c>
    </row>
    <row r="245" spans="1:5" x14ac:dyDescent="0.3">
      <c r="A245" t="s">
        <v>269</v>
      </c>
      <c r="B245">
        <v>36</v>
      </c>
      <c r="C245" t="s">
        <v>24</v>
      </c>
      <c r="D245">
        <v>47.9</v>
      </c>
      <c r="E245">
        <v>74</v>
      </c>
    </row>
    <row r="246" spans="1:5" x14ac:dyDescent="0.3">
      <c r="A246" t="s">
        <v>270</v>
      </c>
      <c r="B246">
        <v>20</v>
      </c>
      <c r="C246" t="s">
        <v>16</v>
      </c>
      <c r="D246">
        <v>38.6</v>
      </c>
      <c r="E246">
        <v>34</v>
      </c>
    </row>
    <row r="247" spans="1:5" x14ac:dyDescent="0.3">
      <c r="A247" t="s">
        <v>271</v>
      </c>
      <c r="B247">
        <v>27</v>
      </c>
      <c r="C247" t="s">
        <v>24</v>
      </c>
      <c r="D247">
        <v>76.900000000000006</v>
      </c>
      <c r="E247">
        <v>166</v>
      </c>
    </row>
    <row r="248" spans="1:5" x14ac:dyDescent="0.3">
      <c r="A248" t="s">
        <v>272</v>
      </c>
      <c r="B248">
        <v>26</v>
      </c>
      <c r="C248" t="s">
        <v>16</v>
      </c>
      <c r="D248">
        <v>72.5</v>
      </c>
      <c r="E248">
        <v>170</v>
      </c>
    </row>
    <row r="249" spans="1:5" x14ac:dyDescent="0.3">
      <c r="A249" t="s">
        <v>273</v>
      </c>
      <c r="B249">
        <v>24</v>
      </c>
      <c r="C249" t="s">
        <v>16</v>
      </c>
      <c r="D249">
        <v>43.8</v>
      </c>
      <c r="E249">
        <v>106</v>
      </c>
    </row>
    <row r="250" spans="1:5" x14ac:dyDescent="0.3">
      <c r="A250" t="s">
        <v>274</v>
      </c>
      <c r="B250">
        <v>44</v>
      </c>
      <c r="C250" t="s">
        <v>24</v>
      </c>
      <c r="D250">
        <v>59.5</v>
      </c>
      <c r="E250">
        <v>155</v>
      </c>
    </row>
    <row r="251" spans="1:5" x14ac:dyDescent="0.3">
      <c r="A251" t="s">
        <v>275</v>
      </c>
      <c r="B251">
        <v>33</v>
      </c>
      <c r="C251" t="s">
        <v>16</v>
      </c>
      <c r="D251">
        <v>51.4</v>
      </c>
      <c r="E251">
        <v>81</v>
      </c>
    </row>
    <row r="252" spans="1:5" x14ac:dyDescent="0.3">
      <c r="A252" t="s">
        <v>276</v>
      </c>
      <c r="B252">
        <v>19</v>
      </c>
      <c r="C252" t="s">
        <v>16</v>
      </c>
      <c r="D252">
        <v>41</v>
      </c>
      <c r="E252">
        <v>102</v>
      </c>
    </row>
    <row r="253" spans="1:5" x14ac:dyDescent="0.3">
      <c r="A253" t="s">
        <v>277</v>
      </c>
      <c r="B253">
        <v>37</v>
      </c>
      <c r="C253" t="s">
        <v>24</v>
      </c>
      <c r="D253">
        <v>88.9</v>
      </c>
      <c r="E253">
        <v>214</v>
      </c>
    </row>
    <row r="254" spans="1:5" x14ac:dyDescent="0.3">
      <c r="A254" t="s">
        <v>278</v>
      </c>
      <c r="B254">
        <v>46</v>
      </c>
      <c r="C254" t="s">
        <v>24</v>
      </c>
      <c r="D254">
        <v>36.5</v>
      </c>
      <c r="E254">
        <v>128</v>
      </c>
    </row>
    <row r="255" spans="1:5" x14ac:dyDescent="0.3">
      <c r="A255" t="s">
        <v>279</v>
      </c>
      <c r="B255">
        <v>38</v>
      </c>
      <c r="C255" t="s">
        <v>24</v>
      </c>
      <c r="D255">
        <v>53.2</v>
      </c>
      <c r="E255">
        <v>91</v>
      </c>
    </row>
    <row r="256" spans="1:5" x14ac:dyDescent="0.3">
      <c r="A256" t="s">
        <v>280</v>
      </c>
      <c r="B256">
        <v>17</v>
      </c>
      <c r="C256" t="s">
        <v>24</v>
      </c>
      <c r="D256">
        <v>65.599999999999994</v>
      </c>
      <c r="E256">
        <v>208</v>
      </c>
    </row>
    <row r="257" spans="1:5" hidden="1" x14ac:dyDescent="0.3">
      <c r="A257" t="s">
        <v>281</v>
      </c>
      <c r="B257">
        <v>26</v>
      </c>
      <c r="C257" t="s">
        <v>24</v>
      </c>
      <c r="D257">
        <v>65.099999999999994</v>
      </c>
      <c r="E257">
        <v>0</v>
      </c>
    </row>
    <row r="258" spans="1:5" x14ac:dyDescent="0.3">
      <c r="A258" t="s">
        <v>282</v>
      </c>
      <c r="B258">
        <v>40</v>
      </c>
      <c r="C258" t="s">
        <v>16</v>
      </c>
      <c r="D258">
        <v>50.5</v>
      </c>
      <c r="E258">
        <v>249</v>
      </c>
    </row>
    <row r="259" spans="1:5" hidden="1" x14ac:dyDescent="0.3">
      <c r="A259" t="s">
        <v>283</v>
      </c>
      <c r="B259">
        <v>24</v>
      </c>
      <c r="C259" t="s">
        <v>16</v>
      </c>
      <c r="D259">
        <v>100</v>
      </c>
      <c r="E259">
        <v>21</v>
      </c>
    </row>
    <row r="260" spans="1:5" x14ac:dyDescent="0.3">
      <c r="A260" t="s">
        <v>284</v>
      </c>
      <c r="B260">
        <v>33</v>
      </c>
      <c r="C260" t="s">
        <v>16</v>
      </c>
      <c r="D260">
        <v>48.8</v>
      </c>
      <c r="E260">
        <v>62</v>
      </c>
    </row>
    <row r="261" spans="1:5" x14ac:dyDescent="0.3">
      <c r="A261" t="s">
        <v>285</v>
      </c>
      <c r="B261">
        <v>36</v>
      </c>
      <c r="C261" t="s">
        <v>24</v>
      </c>
      <c r="D261">
        <v>65.7</v>
      </c>
      <c r="E261">
        <v>105</v>
      </c>
    </row>
    <row r="262" spans="1:5" x14ac:dyDescent="0.3">
      <c r="A262" t="s">
        <v>286</v>
      </c>
      <c r="B262">
        <v>22</v>
      </c>
      <c r="C262" t="s">
        <v>24</v>
      </c>
      <c r="D262">
        <v>60.9</v>
      </c>
      <c r="E262">
        <v>97</v>
      </c>
    </row>
    <row r="263" spans="1:5" x14ac:dyDescent="0.3">
      <c r="A263" t="s">
        <v>287</v>
      </c>
      <c r="B263">
        <v>29</v>
      </c>
      <c r="C263" t="s">
        <v>16</v>
      </c>
      <c r="D263">
        <v>48.1</v>
      </c>
      <c r="E263">
        <v>143</v>
      </c>
    </row>
    <row r="264" spans="1:5" x14ac:dyDescent="0.3">
      <c r="A264" t="s">
        <v>288</v>
      </c>
      <c r="B264">
        <v>16</v>
      </c>
      <c r="C264" t="s">
        <v>16</v>
      </c>
      <c r="D264">
        <v>58.3</v>
      </c>
      <c r="E264">
        <v>31</v>
      </c>
    </row>
    <row r="265" spans="1:5" x14ac:dyDescent="0.3">
      <c r="A265" t="s">
        <v>289</v>
      </c>
      <c r="B265">
        <v>21</v>
      </c>
      <c r="C265" t="s">
        <v>24</v>
      </c>
      <c r="D265">
        <v>50.4</v>
      </c>
      <c r="E265">
        <v>119</v>
      </c>
    </row>
    <row r="266" spans="1:5" x14ac:dyDescent="0.3">
      <c r="A266" t="s">
        <v>290</v>
      </c>
      <c r="B266">
        <v>27</v>
      </c>
      <c r="C266" t="s">
        <v>16</v>
      </c>
      <c r="D266">
        <v>43.6</v>
      </c>
      <c r="E266">
        <v>68</v>
      </c>
    </row>
    <row r="267" spans="1:5" x14ac:dyDescent="0.3">
      <c r="A267" t="s">
        <v>291</v>
      </c>
      <c r="B267">
        <v>20</v>
      </c>
      <c r="C267" t="s">
        <v>24</v>
      </c>
      <c r="D267">
        <v>67.3</v>
      </c>
      <c r="E267">
        <v>126</v>
      </c>
    </row>
    <row r="268" spans="1:5" x14ac:dyDescent="0.3">
      <c r="A268" t="s">
        <v>292</v>
      </c>
      <c r="B268">
        <v>43</v>
      </c>
      <c r="C268" t="s">
        <v>16</v>
      </c>
      <c r="D268">
        <v>52.2</v>
      </c>
      <c r="E268">
        <v>105</v>
      </c>
    </row>
    <row r="269" spans="1:5" x14ac:dyDescent="0.3">
      <c r="A269" t="s">
        <v>293</v>
      </c>
      <c r="B269">
        <v>18</v>
      </c>
      <c r="C269" t="s">
        <v>24</v>
      </c>
      <c r="D269">
        <v>39.799999999999997</v>
      </c>
      <c r="E269">
        <v>103</v>
      </c>
    </row>
    <row r="270" spans="1:5" x14ac:dyDescent="0.3">
      <c r="A270" t="s">
        <v>294</v>
      </c>
      <c r="B270">
        <v>26</v>
      </c>
      <c r="C270" t="s">
        <v>16</v>
      </c>
      <c r="D270">
        <v>56.2</v>
      </c>
      <c r="E270">
        <v>48</v>
      </c>
    </row>
    <row r="271" spans="1:5" x14ac:dyDescent="0.3">
      <c r="A271" t="s">
        <v>295</v>
      </c>
      <c r="B271">
        <v>31</v>
      </c>
      <c r="C271" t="s">
        <v>24</v>
      </c>
      <c r="D271">
        <v>64.599999999999994</v>
      </c>
      <c r="E271">
        <v>86</v>
      </c>
    </row>
    <row r="272" spans="1:5" x14ac:dyDescent="0.3">
      <c r="A272" t="s">
        <v>296</v>
      </c>
      <c r="B272">
        <v>41</v>
      </c>
      <c r="C272" t="s">
        <v>24</v>
      </c>
      <c r="D272">
        <v>49</v>
      </c>
      <c r="E272">
        <v>130</v>
      </c>
    </row>
    <row r="273" spans="1:5" x14ac:dyDescent="0.3">
      <c r="A273" t="s">
        <v>297</v>
      </c>
      <c r="B273">
        <v>18</v>
      </c>
      <c r="C273" t="s">
        <v>24</v>
      </c>
      <c r="D273">
        <v>62.2</v>
      </c>
      <c r="E273">
        <v>183</v>
      </c>
    </row>
    <row r="274" spans="1:5" x14ac:dyDescent="0.3">
      <c r="A274" t="s">
        <v>298</v>
      </c>
      <c r="B274">
        <v>39</v>
      </c>
      <c r="C274" t="s">
        <v>24</v>
      </c>
      <c r="D274">
        <v>47.1</v>
      </c>
      <c r="E274">
        <v>60</v>
      </c>
    </row>
    <row r="275" spans="1:5" x14ac:dyDescent="0.3">
      <c r="A275" t="s">
        <v>299</v>
      </c>
      <c r="B275">
        <v>30</v>
      </c>
      <c r="C275" t="s">
        <v>24</v>
      </c>
      <c r="D275">
        <v>60.4</v>
      </c>
      <c r="E275">
        <v>34</v>
      </c>
    </row>
    <row r="276" spans="1:5" x14ac:dyDescent="0.3">
      <c r="A276" t="s">
        <v>300</v>
      </c>
      <c r="B276">
        <v>22</v>
      </c>
      <c r="C276" t="s">
        <v>24</v>
      </c>
      <c r="D276">
        <v>20.6</v>
      </c>
      <c r="E276">
        <v>123</v>
      </c>
    </row>
    <row r="277" spans="1:5" x14ac:dyDescent="0.3">
      <c r="A277" t="s">
        <v>301</v>
      </c>
      <c r="B277">
        <v>33</v>
      </c>
      <c r="C277" t="s">
        <v>16</v>
      </c>
      <c r="D277">
        <v>28.4</v>
      </c>
      <c r="E277">
        <v>42</v>
      </c>
    </row>
    <row r="278" spans="1:5" x14ac:dyDescent="0.3">
      <c r="A278" t="s">
        <v>302</v>
      </c>
      <c r="B278">
        <v>31</v>
      </c>
      <c r="C278" t="s">
        <v>24</v>
      </c>
      <c r="D278">
        <v>42.2</v>
      </c>
      <c r="E278">
        <v>157</v>
      </c>
    </row>
    <row r="279" spans="1:5" x14ac:dyDescent="0.3">
      <c r="A279" t="s">
        <v>303</v>
      </c>
      <c r="B279">
        <v>25</v>
      </c>
      <c r="C279" t="s">
        <v>24</v>
      </c>
      <c r="D279">
        <v>88.1</v>
      </c>
      <c r="E279">
        <v>65</v>
      </c>
    </row>
    <row r="280" spans="1:5" hidden="1" x14ac:dyDescent="0.3">
      <c r="A280" t="s">
        <v>304</v>
      </c>
      <c r="B280">
        <v>30</v>
      </c>
      <c r="C280" t="s">
        <v>16</v>
      </c>
      <c r="D280">
        <v>40.4</v>
      </c>
      <c r="E280">
        <v>0</v>
      </c>
    </row>
    <row r="281" spans="1:5" x14ac:dyDescent="0.3">
      <c r="A281" t="s">
        <v>305</v>
      </c>
      <c r="B281">
        <v>26</v>
      </c>
      <c r="C281" t="s">
        <v>24</v>
      </c>
      <c r="D281">
        <v>54</v>
      </c>
      <c r="E281">
        <v>75</v>
      </c>
    </row>
    <row r="282" spans="1:5" x14ac:dyDescent="0.3">
      <c r="A282" t="s">
        <v>306</v>
      </c>
      <c r="B282">
        <v>30</v>
      </c>
      <c r="C282" t="s">
        <v>24</v>
      </c>
      <c r="D282">
        <v>41.9</v>
      </c>
      <c r="E282">
        <v>50</v>
      </c>
    </row>
    <row r="283" spans="1:5" x14ac:dyDescent="0.3">
      <c r="A283" t="s">
        <v>307</v>
      </c>
      <c r="B283">
        <v>35</v>
      </c>
      <c r="C283" t="s">
        <v>24</v>
      </c>
      <c r="D283">
        <v>70.3</v>
      </c>
      <c r="E283">
        <v>98</v>
      </c>
    </row>
    <row r="284" spans="1:5" x14ac:dyDescent="0.3">
      <c r="A284" t="s">
        <v>308</v>
      </c>
      <c r="B284">
        <v>42</v>
      </c>
      <c r="C284" t="s">
        <v>16</v>
      </c>
      <c r="D284">
        <v>51.3</v>
      </c>
      <c r="E284">
        <v>35</v>
      </c>
    </row>
    <row r="285" spans="1:5" x14ac:dyDescent="0.3">
      <c r="A285" t="s">
        <v>309</v>
      </c>
      <c r="B285">
        <v>20</v>
      </c>
      <c r="C285" t="s">
        <v>16</v>
      </c>
      <c r="D285">
        <v>75.099999999999994</v>
      </c>
      <c r="E285">
        <v>171</v>
      </c>
    </row>
    <row r="286" spans="1:5" x14ac:dyDescent="0.3">
      <c r="A286" t="s">
        <v>310</v>
      </c>
      <c r="B286">
        <v>47</v>
      </c>
      <c r="C286" t="s">
        <v>28</v>
      </c>
      <c r="D286">
        <v>65.599999999999994</v>
      </c>
      <c r="E286">
        <v>132</v>
      </c>
    </row>
    <row r="287" spans="1:5" x14ac:dyDescent="0.3">
      <c r="A287" t="s">
        <v>311</v>
      </c>
      <c r="B287">
        <v>16</v>
      </c>
      <c r="C287" t="s">
        <v>24</v>
      </c>
      <c r="D287">
        <v>75.7</v>
      </c>
      <c r="E287">
        <v>111</v>
      </c>
    </row>
    <row r="288" spans="1:5" x14ac:dyDescent="0.3">
      <c r="A288" t="s">
        <v>312</v>
      </c>
      <c r="B288">
        <v>28</v>
      </c>
      <c r="C288" t="s">
        <v>16</v>
      </c>
      <c r="D288">
        <v>43.6</v>
      </c>
      <c r="E288">
        <v>112</v>
      </c>
    </row>
    <row r="289" spans="1:5" x14ac:dyDescent="0.3">
      <c r="A289" t="s">
        <v>313</v>
      </c>
      <c r="B289">
        <v>34</v>
      </c>
      <c r="C289" t="s">
        <v>24</v>
      </c>
      <c r="D289">
        <v>30.5</v>
      </c>
      <c r="E289">
        <v>97</v>
      </c>
    </row>
    <row r="290" spans="1:5" x14ac:dyDescent="0.3">
      <c r="A290" t="s">
        <v>314</v>
      </c>
      <c r="B290">
        <v>32</v>
      </c>
      <c r="C290" t="s">
        <v>24</v>
      </c>
      <c r="D290">
        <v>42.2</v>
      </c>
      <c r="E290">
        <v>96</v>
      </c>
    </row>
    <row r="291" spans="1:5" x14ac:dyDescent="0.3">
      <c r="A291" t="s">
        <v>315</v>
      </c>
      <c r="B291">
        <v>25</v>
      </c>
      <c r="C291" t="s">
        <v>16</v>
      </c>
      <c r="D291">
        <v>59.6</v>
      </c>
      <c r="E291">
        <v>121</v>
      </c>
    </row>
    <row r="292" spans="1:5" x14ac:dyDescent="0.3">
      <c r="A292" t="s">
        <v>316</v>
      </c>
      <c r="B292">
        <v>28</v>
      </c>
      <c r="C292" t="s">
        <v>24</v>
      </c>
      <c r="D292">
        <v>66.2</v>
      </c>
      <c r="E292">
        <v>43</v>
      </c>
    </row>
    <row r="293" spans="1:5" x14ac:dyDescent="0.3">
      <c r="A293" t="s">
        <v>317</v>
      </c>
      <c r="B293">
        <v>26</v>
      </c>
      <c r="C293" t="s">
        <v>16</v>
      </c>
      <c r="D293">
        <v>64.599999999999994</v>
      </c>
      <c r="E293">
        <v>224</v>
      </c>
    </row>
    <row r="294" spans="1:5" x14ac:dyDescent="0.3">
      <c r="A294" t="s">
        <v>318</v>
      </c>
      <c r="B294">
        <v>25</v>
      </c>
      <c r="C294" t="s">
        <v>16</v>
      </c>
      <c r="D294">
        <v>42.4</v>
      </c>
      <c r="E294">
        <v>86</v>
      </c>
    </row>
    <row r="295" spans="1:5" x14ac:dyDescent="0.3">
      <c r="A295" t="s">
        <v>319</v>
      </c>
      <c r="B295">
        <v>36</v>
      </c>
      <c r="C295" t="s">
        <v>16</v>
      </c>
      <c r="D295">
        <v>47</v>
      </c>
      <c r="E295">
        <v>2</v>
      </c>
    </row>
    <row r="296" spans="1:5" x14ac:dyDescent="0.3">
      <c r="A296" t="s">
        <v>320</v>
      </c>
      <c r="B296">
        <v>32</v>
      </c>
      <c r="C296" t="s">
        <v>24</v>
      </c>
      <c r="D296">
        <v>75.7</v>
      </c>
      <c r="E296">
        <v>140</v>
      </c>
    </row>
    <row r="297" spans="1:5" x14ac:dyDescent="0.3">
      <c r="A297" t="s">
        <v>321</v>
      </c>
      <c r="B297">
        <v>24</v>
      </c>
      <c r="C297" t="s">
        <v>16</v>
      </c>
      <c r="D297">
        <v>49.2</v>
      </c>
      <c r="E297">
        <v>33</v>
      </c>
    </row>
    <row r="298" spans="1:5" x14ac:dyDescent="0.3">
      <c r="A298" t="s">
        <v>322</v>
      </c>
      <c r="B298">
        <v>37</v>
      </c>
      <c r="C298" t="s">
        <v>16</v>
      </c>
      <c r="D298">
        <v>46.8</v>
      </c>
      <c r="E298">
        <v>143</v>
      </c>
    </row>
    <row r="299" spans="1:5" x14ac:dyDescent="0.3">
      <c r="A299" t="s">
        <v>323</v>
      </c>
      <c r="B299">
        <v>32</v>
      </c>
      <c r="C299" t="s">
        <v>16</v>
      </c>
      <c r="D299">
        <v>49.5</v>
      </c>
      <c r="E299">
        <v>269</v>
      </c>
    </row>
    <row r="300" spans="1:5" x14ac:dyDescent="0.3">
      <c r="A300" t="s">
        <v>324</v>
      </c>
      <c r="B300">
        <v>36</v>
      </c>
      <c r="C300" t="s">
        <v>24</v>
      </c>
      <c r="D300">
        <v>40.6</v>
      </c>
      <c r="E300">
        <v>45</v>
      </c>
    </row>
    <row r="301" spans="1:5" x14ac:dyDescent="0.3">
      <c r="A301" t="s">
        <v>325</v>
      </c>
      <c r="B301">
        <v>35</v>
      </c>
      <c r="C301" t="s">
        <v>24</v>
      </c>
      <c r="D301">
        <v>66.900000000000006</v>
      </c>
      <c r="E301">
        <v>145</v>
      </c>
    </row>
    <row r="302" spans="1:5" hidden="1" x14ac:dyDescent="0.3">
      <c r="A302" t="s">
        <v>326</v>
      </c>
      <c r="B302">
        <v>23</v>
      </c>
      <c r="C302" t="s">
        <v>16</v>
      </c>
      <c r="D302">
        <v>38.6</v>
      </c>
      <c r="E302">
        <v>0</v>
      </c>
    </row>
    <row r="303" spans="1:5" x14ac:dyDescent="0.3">
      <c r="A303" t="s">
        <v>327</v>
      </c>
      <c r="B303">
        <v>25</v>
      </c>
      <c r="C303" t="s">
        <v>16</v>
      </c>
      <c r="D303">
        <v>34.4</v>
      </c>
      <c r="E303">
        <v>121</v>
      </c>
    </row>
    <row r="304" spans="1:5" x14ac:dyDescent="0.3">
      <c r="A304" t="s">
        <v>328</v>
      </c>
      <c r="B304">
        <v>35</v>
      </c>
      <c r="C304" t="s">
        <v>24</v>
      </c>
      <c r="D304">
        <v>47.8</v>
      </c>
      <c r="E304">
        <v>47</v>
      </c>
    </row>
    <row r="305" spans="1:5" x14ac:dyDescent="0.3">
      <c r="A305" t="s">
        <v>329</v>
      </c>
      <c r="B305">
        <v>34</v>
      </c>
      <c r="C305" t="s">
        <v>16</v>
      </c>
      <c r="D305">
        <v>46.3</v>
      </c>
      <c r="E305">
        <v>54</v>
      </c>
    </row>
    <row r="306" spans="1:5" x14ac:dyDescent="0.3">
      <c r="A306" t="s">
        <v>330</v>
      </c>
      <c r="B306">
        <v>29</v>
      </c>
      <c r="C306" t="s">
        <v>16</v>
      </c>
      <c r="D306">
        <v>48.1</v>
      </c>
      <c r="E306">
        <v>39</v>
      </c>
    </row>
    <row r="307" spans="1:5" x14ac:dyDescent="0.3">
      <c r="A307" t="s">
        <v>331</v>
      </c>
      <c r="B307">
        <v>30</v>
      </c>
      <c r="C307" t="s">
        <v>16</v>
      </c>
      <c r="D307">
        <v>41.9</v>
      </c>
      <c r="E307">
        <v>133</v>
      </c>
    </row>
    <row r="308" spans="1:5" x14ac:dyDescent="0.3">
      <c r="A308" t="s">
        <v>332</v>
      </c>
      <c r="B308">
        <v>40</v>
      </c>
      <c r="C308" t="s">
        <v>16</v>
      </c>
      <c r="D308">
        <v>43.4</v>
      </c>
      <c r="E308">
        <v>173</v>
      </c>
    </row>
    <row r="309" spans="1:5" x14ac:dyDescent="0.3">
      <c r="A309" t="s">
        <v>333</v>
      </c>
      <c r="B309">
        <v>25</v>
      </c>
      <c r="C309" t="s">
        <v>16</v>
      </c>
      <c r="D309">
        <v>52.2</v>
      </c>
      <c r="E309">
        <v>94</v>
      </c>
    </row>
    <row r="310" spans="1:5" x14ac:dyDescent="0.3">
      <c r="A310" t="s">
        <v>334</v>
      </c>
      <c r="B310">
        <v>34</v>
      </c>
      <c r="C310" t="s">
        <v>16</v>
      </c>
      <c r="D310">
        <v>49.8</v>
      </c>
      <c r="E310">
        <v>53</v>
      </c>
    </row>
    <row r="311" spans="1:5" x14ac:dyDescent="0.3">
      <c r="A311" t="s">
        <v>335</v>
      </c>
      <c r="B311">
        <v>28</v>
      </c>
      <c r="C311" t="s">
        <v>16</v>
      </c>
      <c r="D311">
        <v>60.2</v>
      </c>
      <c r="E311">
        <v>218</v>
      </c>
    </row>
    <row r="312" spans="1:5" x14ac:dyDescent="0.3">
      <c r="A312" t="s">
        <v>336</v>
      </c>
      <c r="B312">
        <v>28</v>
      </c>
      <c r="C312" t="s">
        <v>24</v>
      </c>
      <c r="D312">
        <v>56.6</v>
      </c>
      <c r="E312">
        <v>58</v>
      </c>
    </row>
    <row r="313" spans="1:5" hidden="1" x14ac:dyDescent="0.3">
      <c r="A313" t="s">
        <v>337</v>
      </c>
      <c r="B313">
        <v>38</v>
      </c>
      <c r="C313" t="s">
        <v>16</v>
      </c>
      <c r="D313">
        <v>49.7</v>
      </c>
      <c r="E313">
        <v>0</v>
      </c>
    </row>
    <row r="314" spans="1:5" x14ac:dyDescent="0.3">
      <c r="A314" t="s">
        <v>338</v>
      </c>
      <c r="B314">
        <v>36</v>
      </c>
      <c r="C314" t="s">
        <v>24</v>
      </c>
      <c r="D314">
        <v>60.8</v>
      </c>
      <c r="E314">
        <v>162</v>
      </c>
    </row>
    <row r="315" spans="1:5" x14ac:dyDescent="0.3">
      <c r="A315" t="s">
        <v>339</v>
      </c>
      <c r="B315">
        <v>36</v>
      </c>
      <c r="C315" t="s">
        <v>24</v>
      </c>
      <c r="D315">
        <v>49.6</v>
      </c>
      <c r="E315">
        <v>26</v>
      </c>
    </row>
    <row r="316" spans="1:5" x14ac:dyDescent="0.3">
      <c r="A316" t="s">
        <v>340</v>
      </c>
      <c r="B316">
        <v>40</v>
      </c>
      <c r="C316" t="s">
        <v>16</v>
      </c>
      <c r="D316">
        <v>38.1</v>
      </c>
      <c r="E316">
        <v>174</v>
      </c>
    </row>
    <row r="317" spans="1:5" x14ac:dyDescent="0.3">
      <c r="A317" t="s">
        <v>341</v>
      </c>
      <c r="B317">
        <v>30</v>
      </c>
      <c r="C317" t="s">
        <v>24</v>
      </c>
      <c r="D317">
        <v>55.3</v>
      </c>
      <c r="E317">
        <v>91</v>
      </c>
    </row>
    <row r="318" spans="1:5" x14ac:dyDescent="0.3">
      <c r="A318" t="s">
        <v>342</v>
      </c>
      <c r="B318">
        <v>35</v>
      </c>
      <c r="C318" t="s">
        <v>16</v>
      </c>
      <c r="D318">
        <v>80.2</v>
      </c>
      <c r="E318">
        <v>160</v>
      </c>
    </row>
    <row r="319" spans="1:5" x14ac:dyDescent="0.3">
      <c r="A319" t="s">
        <v>343</v>
      </c>
      <c r="B319">
        <v>27</v>
      </c>
      <c r="C319" t="s">
        <v>24</v>
      </c>
      <c r="D319">
        <v>72.7</v>
      </c>
      <c r="E319">
        <v>208</v>
      </c>
    </row>
    <row r="320" spans="1:5" x14ac:dyDescent="0.3">
      <c r="A320" t="s">
        <v>344</v>
      </c>
      <c r="B320">
        <v>32</v>
      </c>
      <c r="C320" t="s">
        <v>16</v>
      </c>
      <c r="D320">
        <v>40.6</v>
      </c>
      <c r="E320">
        <v>4</v>
      </c>
    </row>
    <row r="321" spans="1:5" x14ac:dyDescent="0.3">
      <c r="A321" t="s">
        <v>345</v>
      </c>
      <c r="B321">
        <v>28</v>
      </c>
      <c r="C321" t="s">
        <v>16</v>
      </c>
      <c r="D321">
        <v>40.799999999999997</v>
      </c>
      <c r="E321">
        <v>57</v>
      </c>
    </row>
    <row r="322" spans="1:5" x14ac:dyDescent="0.3">
      <c r="A322" t="s">
        <v>346</v>
      </c>
      <c r="B322">
        <v>30</v>
      </c>
      <c r="C322" t="s">
        <v>16</v>
      </c>
      <c r="D322">
        <v>43.6</v>
      </c>
      <c r="E322">
        <v>72</v>
      </c>
    </row>
    <row r="323" spans="1:5" x14ac:dyDescent="0.3">
      <c r="A323" t="s">
        <v>347</v>
      </c>
      <c r="B323">
        <v>34</v>
      </c>
      <c r="C323" t="s">
        <v>28</v>
      </c>
      <c r="D323">
        <v>63.7</v>
      </c>
      <c r="E323">
        <v>214</v>
      </c>
    </row>
    <row r="324" spans="1:5" x14ac:dyDescent="0.3">
      <c r="A324" t="s">
        <v>348</v>
      </c>
      <c r="B324">
        <v>23</v>
      </c>
      <c r="C324" t="s">
        <v>16</v>
      </c>
      <c r="D324">
        <v>88.8</v>
      </c>
      <c r="E324">
        <v>87</v>
      </c>
    </row>
    <row r="325" spans="1:5" x14ac:dyDescent="0.3">
      <c r="A325" t="s">
        <v>349</v>
      </c>
      <c r="B325">
        <v>46</v>
      </c>
      <c r="C325" t="s">
        <v>24</v>
      </c>
      <c r="D325">
        <v>54.7</v>
      </c>
      <c r="E325">
        <v>69</v>
      </c>
    </row>
    <row r="326" spans="1:5" x14ac:dyDescent="0.3">
      <c r="A326" t="s">
        <v>350</v>
      </c>
      <c r="B326">
        <v>21</v>
      </c>
      <c r="C326" t="s">
        <v>16</v>
      </c>
      <c r="D326">
        <v>40.799999999999997</v>
      </c>
      <c r="E326">
        <v>120</v>
      </c>
    </row>
    <row r="327" spans="1:5" x14ac:dyDescent="0.3">
      <c r="A327" t="s">
        <v>351</v>
      </c>
      <c r="B327">
        <v>20</v>
      </c>
      <c r="C327" t="s">
        <v>24</v>
      </c>
      <c r="D327">
        <v>49.5</v>
      </c>
      <c r="E327">
        <v>54</v>
      </c>
    </row>
    <row r="328" spans="1:5" x14ac:dyDescent="0.3">
      <c r="A328" t="s">
        <v>352</v>
      </c>
      <c r="B328">
        <v>39</v>
      </c>
      <c r="C328" t="s">
        <v>16</v>
      </c>
      <c r="D328">
        <v>52.5</v>
      </c>
      <c r="E328">
        <v>124</v>
      </c>
    </row>
    <row r="329" spans="1:5" hidden="1" x14ac:dyDescent="0.3">
      <c r="A329" t="s">
        <v>353</v>
      </c>
      <c r="B329">
        <v>36</v>
      </c>
      <c r="C329" t="s">
        <v>24</v>
      </c>
      <c r="D329">
        <v>84</v>
      </c>
      <c r="E329">
        <v>0</v>
      </c>
    </row>
    <row r="330" spans="1:5" x14ac:dyDescent="0.3">
      <c r="A330" t="s">
        <v>354</v>
      </c>
      <c r="B330">
        <v>34</v>
      </c>
      <c r="C330" t="s">
        <v>16</v>
      </c>
      <c r="D330">
        <v>40.5</v>
      </c>
      <c r="E330">
        <v>237</v>
      </c>
    </row>
    <row r="331" spans="1:5" x14ac:dyDescent="0.3">
      <c r="A331" t="s">
        <v>355</v>
      </c>
      <c r="B331">
        <v>35</v>
      </c>
      <c r="C331" t="s">
        <v>16</v>
      </c>
      <c r="D331">
        <v>64</v>
      </c>
      <c r="E331">
        <v>2</v>
      </c>
    </row>
    <row r="332" spans="1:5" x14ac:dyDescent="0.3">
      <c r="A332" t="s">
        <v>356</v>
      </c>
      <c r="B332">
        <v>29</v>
      </c>
      <c r="C332" t="s">
        <v>16</v>
      </c>
      <c r="D332">
        <v>38.4</v>
      </c>
      <c r="E332">
        <v>73</v>
      </c>
    </row>
    <row r="333" spans="1:5" x14ac:dyDescent="0.3">
      <c r="A333" t="s">
        <v>357</v>
      </c>
      <c r="B333">
        <v>22</v>
      </c>
      <c r="C333" t="s">
        <v>16</v>
      </c>
      <c r="D333">
        <v>62.5</v>
      </c>
      <c r="E333">
        <v>88</v>
      </c>
    </row>
    <row r="334" spans="1:5" x14ac:dyDescent="0.3">
      <c r="A334" t="s">
        <v>358</v>
      </c>
      <c r="B334">
        <v>30</v>
      </c>
      <c r="C334" t="s">
        <v>24</v>
      </c>
      <c r="D334">
        <v>57.4</v>
      </c>
      <c r="E334">
        <v>225</v>
      </c>
    </row>
    <row r="335" spans="1:5" x14ac:dyDescent="0.3">
      <c r="A335" t="s">
        <v>359</v>
      </c>
      <c r="B335">
        <v>24</v>
      </c>
      <c r="C335" t="s">
        <v>16</v>
      </c>
      <c r="D335">
        <v>47.5</v>
      </c>
      <c r="E335">
        <v>2</v>
      </c>
    </row>
    <row r="336" spans="1:5" x14ac:dyDescent="0.3">
      <c r="A336" t="s">
        <v>360</v>
      </c>
      <c r="B336">
        <v>37</v>
      </c>
      <c r="C336" t="s">
        <v>24</v>
      </c>
      <c r="D336">
        <v>53.8</v>
      </c>
      <c r="E336">
        <v>259</v>
      </c>
    </row>
    <row r="337" spans="1:5" x14ac:dyDescent="0.3">
      <c r="A337" t="s">
        <v>361</v>
      </c>
      <c r="B337">
        <v>28</v>
      </c>
      <c r="C337" t="s">
        <v>16</v>
      </c>
      <c r="D337">
        <v>44.8</v>
      </c>
      <c r="E337">
        <v>152</v>
      </c>
    </row>
    <row r="338" spans="1:5" x14ac:dyDescent="0.3">
      <c r="A338" t="s">
        <v>362</v>
      </c>
      <c r="B338">
        <v>23</v>
      </c>
      <c r="C338" t="s">
        <v>24</v>
      </c>
      <c r="D338">
        <v>31.4</v>
      </c>
      <c r="E338">
        <v>120</v>
      </c>
    </row>
    <row r="339" spans="1:5" x14ac:dyDescent="0.3">
      <c r="A339" t="s">
        <v>363</v>
      </c>
      <c r="B339">
        <v>27</v>
      </c>
      <c r="C339" t="s">
        <v>16</v>
      </c>
      <c r="D339">
        <v>39.1</v>
      </c>
      <c r="E339">
        <v>18</v>
      </c>
    </row>
    <row r="340" spans="1:5" x14ac:dyDescent="0.3">
      <c r="A340" t="s">
        <v>364</v>
      </c>
      <c r="B340">
        <v>33</v>
      </c>
      <c r="C340" t="s">
        <v>16</v>
      </c>
      <c r="D340">
        <v>62.5</v>
      </c>
      <c r="E340">
        <v>132</v>
      </c>
    </row>
    <row r="341" spans="1:5" x14ac:dyDescent="0.3">
      <c r="A341" t="s">
        <v>365</v>
      </c>
      <c r="B341">
        <v>25</v>
      </c>
      <c r="C341" t="s">
        <v>24</v>
      </c>
      <c r="D341">
        <v>46.3</v>
      </c>
      <c r="E341">
        <v>52</v>
      </c>
    </row>
    <row r="342" spans="1:5" x14ac:dyDescent="0.3">
      <c r="A342" t="s">
        <v>366</v>
      </c>
      <c r="B342">
        <v>23</v>
      </c>
      <c r="C342" t="s">
        <v>16</v>
      </c>
      <c r="D342">
        <v>38.4</v>
      </c>
      <c r="E342">
        <v>188</v>
      </c>
    </row>
    <row r="343" spans="1:5" x14ac:dyDescent="0.3">
      <c r="A343" t="s">
        <v>367</v>
      </c>
      <c r="B343">
        <v>31</v>
      </c>
      <c r="C343" t="s">
        <v>16</v>
      </c>
      <c r="D343">
        <v>54.5</v>
      </c>
      <c r="E343">
        <v>34</v>
      </c>
    </row>
    <row r="344" spans="1:5" x14ac:dyDescent="0.3">
      <c r="A344" t="s">
        <v>368</v>
      </c>
      <c r="B344">
        <v>31</v>
      </c>
      <c r="C344" t="s">
        <v>24</v>
      </c>
      <c r="D344">
        <v>57.1</v>
      </c>
      <c r="E344">
        <v>121</v>
      </c>
    </row>
    <row r="345" spans="1:5" x14ac:dyDescent="0.3">
      <c r="A345" t="s">
        <v>369</v>
      </c>
      <c r="B345">
        <v>25</v>
      </c>
      <c r="C345" t="s">
        <v>24</v>
      </c>
      <c r="D345">
        <v>67.099999999999994</v>
      </c>
      <c r="E345">
        <v>90</v>
      </c>
    </row>
    <row r="346" spans="1:5" x14ac:dyDescent="0.3">
      <c r="A346" t="s">
        <v>370</v>
      </c>
      <c r="B346">
        <v>26</v>
      </c>
      <c r="C346" t="s">
        <v>16</v>
      </c>
      <c r="D346">
        <v>67.5</v>
      </c>
      <c r="E346">
        <v>49</v>
      </c>
    </row>
    <row r="347" spans="1:5" x14ac:dyDescent="0.3">
      <c r="A347" t="s">
        <v>371</v>
      </c>
      <c r="B347">
        <v>31</v>
      </c>
      <c r="C347" t="s">
        <v>16</v>
      </c>
      <c r="D347">
        <v>58.2</v>
      </c>
      <c r="E347">
        <v>148</v>
      </c>
    </row>
    <row r="348" spans="1:5" x14ac:dyDescent="0.3">
      <c r="A348" t="s">
        <v>372</v>
      </c>
      <c r="B348">
        <v>18</v>
      </c>
      <c r="C348" t="s">
        <v>24</v>
      </c>
      <c r="D348">
        <v>58.6</v>
      </c>
      <c r="E348">
        <v>148</v>
      </c>
    </row>
    <row r="349" spans="1:5" x14ac:dyDescent="0.3">
      <c r="A349" t="s">
        <v>373</v>
      </c>
      <c r="B349">
        <v>18</v>
      </c>
      <c r="C349" t="s">
        <v>16</v>
      </c>
      <c r="D349">
        <v>61.3</v>
      </c>
      <c r="E349">
        <v>180</v>
      </c>
    </row>
    <row r="350" spans="1:5" hidden="1" x14ac:dyDescent="0.3">
      <c r="A350" t="s">
        <v>374</v>
      </c>
      <c r="B350">
        <v>24</v>
      </c>
      <c r="C350" t="s">
        <v>16</v>
      </c>
      <c r="D350">
        <v>58.6</v>
      </c>
      <c r="E350">
        <v>0</v>
      </c>
    </row>
    <row r="351" spans="1:5" x14ac:dyDescent="0.3">
      <c r="A351" t="s">
        <v>375</v>
      </c>
      <c r="B351">
        <v>28</v>
      </c>
      <c r="C351" t="s">
        <v>16</v>
      </c>
      <c r="D351">
        <v>43.7</v>
      </c>
      <c r="E351">
        <v>170</v>
      </c>
    </row>
    <row r="352" spans="1:5" x14ac:dyDescent="0.3">
      <c r="A352" t="s">
        <v>376</v>
      </c>
      <c r="B352">
        <v>32</v>
      </c>
      <c r="C352" t="s">
        <v>24</v>
      </c>
      <c r="D352">
        <v>23.2</v>
      </c>
      <c r="E352">
        <v>253</v>
      </c>
    </row>
    <row r="353" spans="1:5" hidden="1" x14ac:dyDescent="0.3">
      <c r="A353" t="s">
        <v>377</v>
      </c>
      <c r="B353">
        <v>41</v>
      </c>
      <c r="C353" t="s">
        <v>24</v>
      </c>
      <c r="D353">
        <v>97.1</v>
      </c>
      <c r="E353">
        <v>124</v>
      </c>
    </row>
    <row r="354" spans="1:5" x14ac:dyDescent="0.3">
      <c r="A354" t="s">
        <v>378</v>
      </c>
      <c r="B354">
        <v>36</v>
      </c>
      <c r="C354" t="s">
        <v>16</v>
      </c>
      <c r="D354">
        <v>34.1</v>
      </c>
      <c r="E354">
        <v>210</v>
      </c>
    </row>
    <row r="355" spans="1:5" x14ac:dyDescent="0.3">
      <c r="A355" t="s">
        <v>379</v>
      </c>
      <c r="B355">
        <v>28</v>
      </c>
      <c r="C355" t="s">
        <v>16</v>
      </c>
      <c r="D355">
        <v>39.799999999999997</v>
      </c>
      <c r="E355">
        <v>96</v>
      </c>
    </row>
    <row r="356" spans="1:5" x14ac:dyDescent="0.3">
      <c r="A356" t="s">
        <v>380</v>
      </c>
      <c r="B356">
        <v>29</v>
      </c>
      <c r="C356" t="s">
        <v>16</v>
      </c>
      <c r="D356">
        <v>41.1</v>
      </c>
      <c r="E356">
        <v>2</v>
      </c>
    </row>
    <row r="357" spans="1:5" x14ac:dyDescent="0.3">
      <c r="A357" t="s">
        <v>381</v>
      </c>
      <c r="B357">
        <v>21</v>
      </c>
      <c r="C357" t="s">
        <v>24</v>
      </c>
      <c r="D357">
        <v>47.3</v>
      </c>
      <c r="E357">
        <v>90</v>
      </c>
    </row>
    <row r="358" spans="1:5" x14ac:dyDescent="0.3">
      <c r="A358" t="s">
        <v>382</v>
      </c>
      <c r="B358">
        <v>29</v>
      </c>
      <c r="C358" t="s">
        <v>16</v>
      </c>
      <c r="D358">
        <v>39.700000000000003</v>
      </c>
      <c r="E358">
        <v>159</v>
      </c>
    </row>
    <row r="359" spans="1:5" x14ac:dyDescent="0.3">
      <c r="A359" t="s">
        <v>383</v>
      </c>
      <c r="B359">
        <v>27</v>
      </c>
      <c r="C359" t="s">
        <v>16</v>
      </c>
      <c r="D359">
        <v>63</v>
      </c>
      <c r="E359">
        <v>56</v>
      </c>
    </row>
    <row r="360" spans="1:5" x14ac:dyDescent="0.3">
      <c r="A360" t="s">
        <v>384</v>
      </c>
      <c r="B360">
        <v>32</v>
      </c>
      <c r="C360" t="s">
        <v>24</v>
      </c>
      <c r="D360">
        <v>84.8</v>
      </c>
      <c r="E360">
        <v>83</v>
      </c>
    </row>
    <row r="361" spans="1:5" x14ac:dyDescent="0.3">
      <c r="A361" t="s">
        <v>385</v>
      </c>
      <c r="B361">
        <v>23</v>
      </c>
      <c r="C361" t="s">
        <v>16</v>
      </c>
      <c r="D361">
        <v>46</v>
      </c>
      <c r="E361">
        <v>130</v>
      </c>
    </row>
    <row r="362" spans="1:5" x14ac:dyDescent="0.3">
      <c r="A362" t="s">
        <v>386</v>
      </c>
      <c r="B362">
        <v>34</v>
      </c>
      <c r="C362" t="s">
        <v>24</v>
      </c>
      <c r="D362">
        <v>36.9</v>
      </c>
      <c r="E362">
        <v>99</v>
      </c>
    </row>
    <row r="363" spans="1:5" x14ac:dyDescent="0.3">
      <c r="A363" t="s">
        <v>387</v>
      </c>
      <c r="B363">
        <v>42</v>
      </c>
      <c r="C363" t="s">
        <v>16</v>
      </c>
      <c r="D363">
        <v>67.8</v>
      </c>
      <c r="E363">
        <v>167</v>
      </c>
    </row>
    <row r="364" spans="1:5" x14ac:dyDescent="0.3">
      <c r="A364" t="s">
        <v>388</v>
      </c>
      <c r="B364">
        <v>29</v>
      </c>
      <c r="C364" t="s">
        <v>16</v>
      </c>
      <c r="D364">
        <v>30.2</v>
      </c>
      <c r="E364">
        <v>105</v>
      </c>
    </row>
    <row r="365" spans="1:5" x14ac:dyDescent="0.3">
      <c r="A365" t="s">
        <v>389</v>
      </c>
      <c r="B365">
        <v>33</v>
      </c>
      <c r="C365" t="s">
        <v>16</v>
      </c>
      <c r="D365">
        <v>34.799999999999997</v>
      </c>
      <c r="E365">
        <v>131</v>
      </c>
    </row>
    <row r="366" spans="1:5" x14ac:dyDescent="0.3">
      <c r="A366" t="s">
        <v>390</v>
      </c>
      <c r="B366">
        <v>35</v>
      </c>
      <c r="C366" t="s">
        <v>24</v>
      </c>
      <c r="D366">
        <v>39.6</v>
      </c>
      <c r="E366">
        <v>78</v>
      </c>
    </row>
    <row r="367" spans="1:5" x14ac:dyDescent="0.3">
      <c r="A367" t="s">
        <v>391</v>
      </c>
      <c r="B367">
        <v>26</v>
      </c>
      <c r="C367" t="s">
        <v>24</v>
      </c>
      <c r="D367">
        <v>52.1</v>
      </c>
      <c r="E367">
        <v>103</v>
      </c>
    </row>
    <row r="368" spans="1:5" x14ac:dyDescent="0.3">
      <c r="A368" t="s">
        <v>392</v>
      </c>
      <c r="B368">
        <v>31</v>
      </c>
      <c r="C368" t="s">
        <v>24</v>
      </c>
      <c r="D368">
        <v>51.9</v>
      </c>
      <c r="E368">
        <v>47</v>
      </c>
    </row>
    <row r="369" spans="1:5" x14ac:dyDescent="0.3">
      <c r="A369" t="s">
        <v>393</v>
      </c>
      <c r="B369">
        <v>30</v>
      </c>
      <c r="C369" t="s">
        <v>16</v>
      </c>
      <c r="D369">
        <v>48.6</v>
      </c>
      <c r="E369">
        <v>178</v>
      </c>
    </row>
    <row r="370" spans="1:5" x14ac:dyDescent="0.3">
      <c r="A370" t="s">
        <v>394</v>
      </c>
      <c r="B370">
        <v>30</v>
      </c>
      <c r="C370" t="s">
        <v>24</v>
      </c>
      <c r="D370">
        <v>63.3</v>
      </c>
      <c r="E370">
        <v>65</v>
      </c>
    </row>
    <row r="371" spans="1:5" x14ac:dyDescent="0.3">
      <c r="A371" t="s">
        <v>395</v>
      </c>
      <c r="B371">
        <v>23</v>
      </c>
      <c r="C371" t="s">
        <v>16</v>
      </c>
      <c r="D371">
        <v>54.9</v>
      </c>
      <c r="E371">
        <v>179</v>
      </c>
    </row>
    <row r="372" spans="1:5" x14ac:dyDescent="0.3">
      <c r="A372" t="s">
        <v>396</v>
      </c>
      <c r="B372">
        <v>30</v>
      </c>
      <c r="C372" t="s">
        <v>16</v>
      </c>
      <c r="D372">
        <v>46.8</v>
      </c>
      <c r="E372">
        <v>69</v>
      </c>
    </row>
    <row r="373" spans="1:5" x14ac:dyDescent="0.3">
      <c r="A373" t="s">
        <v>397</v>
      </c>
      <c r="B373">
        <v>33</v>
      </c>
      <c r="C373" t="s">
        <v>24</v>
      </c>
      <c r="D373">
        <v>34.1</v>
      </c>
      <c r="E373">
        <v>106</v>
      </c>
    </row>
    <row r="374" spans="1:5" x14ac:dyDescent="0.3">
      <c r="A374" t="s">
        <v>398</v>
      </c>
      <c r="B374">
        <v>41</v>
      </c>
      <c r="C374" t="s">
        <v>16</v>
      </c>
      <c r="D374">
        <v>45</v>
      </c>
      <c r="E374">
        <v>67</v>
      </c>
    </row>
    <row r="375" spans="1:5" x14ac:dyDescent="0.3">
      <c r="A375" t="s">
        <v>399</v>
      </c>
      <c r="B375">
        <v>37</v>
      </c>
      <c r="C375" t="s">
        <v>16</v>
      </c>
      <c r="D375">
        <v>72.5</v>
      </c>
      <c r="E375">
        <v>55</v>
      </c>
    </row>
    <row r="376" spans="1:5" hidden="1" x14ac:dyDescent="0.3">
      <c r="A376" t="s">
        <v>400</v>
      </c>
      <c r="B376">
        <v>47</v>
      </c>
      <c r="C376" t="s">
        <v>16</v>
      </c>
      <c r="D376">
        <v>44.3</v>
      </c>
      <c r="E376">
        <v>0</v>
      </c>
    </row>
    <row r="377" spans="1:5" x14ac:dyDescent="0.3">
      <c r="A377" t="s">
        <v>401</v>
      </c>
      <c r="B377">
        <v>23</v>
      </c>
      <c r="C377" t="s">
        <v>16</v>
      </c>
      <c r="D377">
        <v>56</v>
      </c>
      <c r="E377">
        <v>19</v>
      </c>
    </row>
    <row r="378" spans="1:5" x14ac:dyDescent="0.3">
      <c r="A378" t="s">
        <v>402</v>
      </c>
      <c r="B378">
        <v>36</v>
      </c>
      <c r="C378" t="s">
        <v>16</v>
      </c>
      <c r="D378">
        <v>59.1</v>
      </c>
      <c r="E378">
        <v>69</v>
      </c>
    </row>
    <row r="379" spans="1:5" x14ac:dyDescent="0.3">
      <c r="A379" t="s">
        <v>403</v>
      </c>
      <c r="B379">
        <v>31</v>
      </c>
      <c r="C379" t="s">
        <v>24</v>
      </c>
      <c r="D379">
        <v>76.5</v>
      </c>
      <c r="E379">
        <v>137</v>
      </c>
    </row>
    <row r="380" spans="1:5" x14ac:dyDescent="0.3">
      <c r="A380" t="s">
        <v>404</v>
      </c>
      <c r="B380">
        <v>47</v>
      </c>
      <c r="C380" t="s">
        <v>16</v>
      </c>
      <c r="D380">
        <v>63</v>
      </c>
      <c r="E380">
        <v>207</v>
      </c>
    </row>
    <row r="381" spans="1:5" x14ac:dyDescent="0.3">
      <c r="A381" t="s">
        <v>405</v>
      </c>
      <c r="B381">
        <v>23</v>
      </c>
      <c r="C381" t="s">
        <v>24</v>
      </c>
      <c r="D381">
        <v>56.5</v>
      </c>
      <c r="E381">
        <v>66</v>
      </c>
    </row>
    <row r="382" spans="1:5" x14ac:dyDescent="0.3">
      <c r="A382" t="s">
        <v>406</v>
      </c>
      <c r="B382">
        <v>23</v>
      </c>
      <c r="C382" t="s">
        <v>24</v>
      </c>
      <c r="D382">
        <v>47.3</v>
      </c>
      <c r="E382">
        <v>9</v>
      </c>
    </row>
    <row r="383" spans="1:5" hidden="1" x14ac:dyDescent="0.3">
      <c r="A383" t="s">
        <v>407</v>
      </c>
      <c r="B383">
        <v>25</v>
      </c>
      <c r="C383" t="s">
        <v>16</v>
      </c>
      <c r="D383">
        <v>40.4</v>
      </c>
      <c r="E383">
        <v>0</v>
      </c>
    </row>
    <row r="384" spans="1:5" x14ac:dyDescent="0.3">
      <c r="A384" t="s">
        <v>408</v>
      </c>
      <c r="B384">
        <v>16</v>
      </c>
      <c r="C384" t="s">
        <v>16</v>
      </c>
      <c r="D384">
        <v>81</v>
      </c>
      <c r="E384">
        <v>140</v>
      </c>
    </row>
    <row r="385" spans="1:5" hidden="1" x14ac:dyDescent="0.3">
      <c r="A385" t="s">
        <v>409</v>
      </c>
      <c r="B385">
        <v>25</v>
      </c>
      <c r="C385" t="s">
        <v>16</v>
      </c>
      <c r="D385">
        <v>97.6</v>
      </c>
      <c r="E385">
        <v>207</v>
      </c>
    </row>
    <row r="386" spans="1:5" x14ac:dyDescent="0.3">
      <c r="A386" t="s">
        <v>410</v>
      </c>
      <c r="B386">
        <v>23</v>
      </c>
      <c r="C386" t="s">
        <v>24</v>
      </c>
      <c r="D386">
        <v>33.5</v>
      </c>
      <c r="E386">
        <v>182</v>
      </c>
    </row>
    <row r="387" spans="1:5" x14ac:dyDescent="0.3">
      <c r="A387" t="s">
        <v>411</v>
      </c>
      <c r="B387">
        <v>31</v>
      </c>
      <c r="C387" t="s">
        <v>16</v>
      </c>
      <c r="D387">
        <v>50.4</v>
      </c>
      <c r="E387">
        <v>146</v>
      </c>
    </row>
    <row r="388" spans="1:5" x14ac:dyDescent="0.3">
      <c r="A388" t="s">
        <v>412</v>
      </c>
      <c r="B388">
        <v>32</v>
      </c>
      <c r="C388" t="s">
        <v>24</v>
      </c>
      <c r="D388">
        <v>43.8</v>
      </c>
      <c r="E388">
        <v>169</v>
      </c>
    </row>
    <row r="389" spans="1:5" x14ac:dyDescent="0.3">
      <c r="A389" t="s">
        <v>413</v>
      </c>
      <c r="B389">
        <v>45</v>
      </c>
      <c r="C389" t="s">
        <v>16</v>
      </c>
      <c r="D389">
        <v>49.9</v>
      </c>
      <c r="E389">
        <v>233</v>
      </c>
    </row>
    <row r="390" spans="1:5" x14ac:dyDescent="0.3">
      <c r="A390" t="s">
        <v>414</v>
      </c>
      <c r="B390">
        <v>37</v>
      </c>
      <c r="C390" t="s">
        <v>24</v>
      </c>
      <c r="D390">
        <v>32.799999999999997</v>
      </c>
      <c r="E390">
        <v>123</v>
      </c>
    </row>
    <row r="391" spans="1:5" x14ac:dyDescent="0.3">
      <c r="A391" t="s">
        <v>415</v>
      </c>
      <c r="B391">
        <v>25</v>
      </c>
      <c r="C391" t="s">
        <v>16</v>
      </c>
      <c r="D391">
        <v>50.4</v>
      </c>
      <c r="E391">
        <v>138</v>
      </c>
    </row>
    <row r="392" spans="1:5" x14ac:dyDescent="0.3">
      <c r="A392" t="s">
        <v>416</v>
      </c>
      <c r="B392">
        <v>22</v>
      </c>
      <c r="C392" t="s">
        <v>16</v>
      </c>
      <c r="D392">
        <v>36.5</v>
      </c>
      <c r="E392">
        <v>61</v>
      </c>
    </row>
    <row r="393" spans="1:5" x14ac:dyDescent="0.3">
      <c r="A393" t="s">
        <v>417</v>
      </c>
      <c r="B393">
        <v>33</v>
      </c>
      <c r="C393" t="s">
        <v>24</v>
      </c>
      <c r="D393">
        <v>51.2</v>
      </c>
      <c r="E393">
        <v>19</v>
      </c>
    </row>
    <row r="394" spans="1:5" x14ac:dyDescent="0.3">
      <c r="A394" t="s">
        <v>418</v>
      </c>
      <c r="B394">
        <v>19</v>
      </c>
      <c r="C394" t="s">
        <v>24</v>
      </c>
      <c r="D394">
        <v>34.4</v>
      </c>
      <c r="E394">
        <v>40</v>
      </c>
    </row>
    <row r="395" spans="1:5" x14ac:dyDescent="0.3">
      <c r="A395" t="s">
        <v>419</v>
      </c>
      <c r="B395">
        <v>44</v>
      </c>
      <c r="C395" t="s">
        <v>16</v>
      </c>
      <c r="D395">
        <v>38.799999999999997</v>
      </c>
      <c r="E395">
        <v>99</v>
      </c>
    </row>
    <row r="396" spans="1:5" x14ac:dyDescent="0.3">
      <c r="A396" t="s">
        <v>420</v>
      </c>
      <c r="B396">
        <v>39</v>
      </c>
      <c r="C396" t="s">
        <v>24</v>
      </c>
      <c r="D396">
        <v>43.5</v>
      </c>
      <c r="E396">
        <v>83</v>
      </c>
    </row>
    <row r="397" spans="1:5" x14ac:dyDescent="0.3">
      <c r="A397" t="s">
        <v>421</v>
      </c>
      <c r="B397">
        <v>26</v>
      </c>
      <c r="C397" t="s">
        <v>16</v>
      </c>
      <c r="D397">
        <v>64.599999999999994</v>
      </c>
      <c r="E397">
        <v>252</v>
      </c>
    </row>
    <row r="398" spans="1:5" x14ac:dyDescent="0.3">
      <c r="A398" t="s">
        <v>422</v>
      </c>
      <c r="B398">
        <v>16</v>
      </c>
      <c r="C398" t="s">
        <v>24</v>
      </c>
      <c r="D398">
        <v>47.4</v>
      </c>
      <c r="E398">
        <v>99</v>
      </c>
    </row>
    <row r="399" spans="1:5" x14ac:dyDescent="0.3">
      <c r="A399" t="s">
        <v>423</v>
      </c>
      <c r="B399">
        <v>40</v>
      </c>
      <c r="C399" t="s">
        <v>24</v>
      </c>
      <c r="D399">
        <v>57.3</v>
      </c>
      <c r="E399">
        <v>193</v>
      </c>
    </row>
    <row r="400" spans="1:5" x14ac:dyDescent="0.3">
      <c r="A400" t="s">
        <v>424</v>
      </c>
      <c r="B400">
        <v>29</v>
      </c>
      <c r="C400" t="s">
        <v>16</v>
      </c>
      <c r="D400">
        <v>63.6</v>
      </c>
      <c r="E400">
        <v>97</v>
      </c>
    </row>
    <row r="401" spans="1:5" x14ac:dyDescent="0.3">
      <c r="A401" t="s">
        <v>425</v>
      </c>
      <c r="B401">
        <v>39</v>
      </c>
      <c r="C401" t="s">
        <v>16</v>
      </c>
      <c r="D401">
        <v>41.4</v>
      </c>
      <c r="E401">
        <v>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1849-8C7B-4267-9E4C-BBF14C87F1F2}">
  <dimension ref="A1:P401"/>
  <sheetViews>
    <sheetView topLeftCell="F2" zoomScale="103" zoomScaleNormal="130" workbookViewId="0">
      <selection activeCell="AE13" sqref="AE13"/>
    </sheetView>
  </sheetViews>
  <sheetFormatPr defaultRowHeight="14" zeroHeight="1" x14ac:dyDescent="0.3"/>
  <cols>
    <col min="1" max="1" width="11.25" customWidth="1"/>
    <col min="2" max="2" width="6.25" bestFit="1" customWidth="1"/>
    <col min="3" max="3" width="15" bestFit="1" customWidth="1"/>
    <col min="4" max="4" width="21.25" bestFit="1" customWidth="1"/>
    <col min="5" max="5" width="25.25" bestFit="1" customWidth="1"/>
    <col min="9" max="9" width="10.4140625" customWidth="1"/>
    <col min="10" max="10" width="11.25" customWidth="1"/>
    <col min="11" max="11" width="8.75" bestFit="1" customWidth="1"/>
    <col min="12" max="12" width="12.75" bestFit="1" customWidth="1"/>
    <col min="13" max="13" width="10.4140625" customWidth="1"/>
    <col min="14" max="14" width="10.83203125" customWidth="1"/>
    <col min="15" max="15" width="10.75" customWidth="1"/>
    <col min="16" max="16" width="12.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11</v>
      </c>
      <c r="E1" t="s">
        <v>13</v>
      </c>
    </row>
    <row r="2" spans="1:13" x14ac:dyDescent="0.3">
      <c r="A2" t="s">
        <v>15</v>
      </c>
      <c r="B2">
        <v>33</v>
      </c>
      <c r="C2" t="s">
        <v>16</v>
      </c>
      <c r="D2">
        <v>44.7</v>
      </c>
      <c r="E2">
        <v>0.7</v>
      </c>
      <c r="H2" s="23" t="s">
        <v>530</v>
      </c>
      <c r="I2" s="23"/>
      <c r="J2" s="23"/>
    </row>
    <row r="3" spans="1:13" x14ac:dyDescent="0.3">
      <c r="A3" t="s">
        <v>19</v>
      </c>
      <c r="B3">
        <v>28</v>
      </c>
      <c r="C3" t="s">
        <v>16</v>
      </c>
      <c r="D3">
        <v>78</v>
      </c>
      <c r="E3">
        <v>2.1</v>
      </c>
      <c r="H3" t="s">
        <v>456</v>
      </c>
    </row>
    <row r="4" spans="1:13" ht="14.5" thickBot="1" x14ac:dyDescent="0.35">
      <c r="A4" t="s">
        <v>21</v>
      </c>
      <c r="B4">
        <v>35</v>
      </c>
      <c r="C4" t="s">
        <v>16</v>
      </c>
      <c r="D4">
        <v>51.8</v>
      </c>
      <c r="E4">
        <v>8</v>
      </c>
    </row>
    <row r="5" spans="1:13" x14ac:dyDescent="0.3">
      <c r="A5" t="s">
        <v>23</v>
      </c>
      <c r="B5">
        <v>42</v>
      </c>
      <c r="C5" t="s">
        <v>24</v>
      </c>
      <c r="D5">
        <v>37</v>
      </c>
      <c r="E5">
        <v>5.7</v>
      </c>
      <c r="H5" s="3" t="s">
        <v>457</v>
      </c>
      <c r="I5" s="3"/>
    </row>
    <row r="6" spans="1:13" x14ac:dyDescent="0.3">
      <c r="A6" t="s">
        <v>25</v>
      </c>
      <c r="B6">
        <v>28</v>
      </c>
      <c r="C6" t="s">
        <v>24</v>
      </c>
      <c r="D6">
        <v>38.5</v>
      </c>
      <c r="E6">
        <v>10.1</v>
      </c>
      <c r="H6" t="s">
        <v>458</v>
      </c>
      <c r="I6" s="12">
        <v>0.11723163578132677</v>
      </c>
    </row>
    <row r="7" spans="1:13" x14ac:dyDescent="0.3">
      <c r="A7" t="s">
        <v>27</v>
      </c>
      <c r="B7">
        <v>28</v>
      </c>
      <c r="C7" t="s">
        <v>28</v>
      </c>
      <c r="D7">
        <v>44</v>
      </c>
      <c r="E7">
        <v>10.3</v>
      </c>
      <c r="H7" t="s">
        <v>459</v>
      </c>
      <c r="I7" s="12">
        <v>1.3743256427965653E-2</v>
      </c>
    </row>
    <row r="8" spans="1:13" x14ac:dyDescent="0.3">
      <c r="A8" t="s">
        <v>30</v>
      </c>
      <c r="B8">
        <v>42</v>
      </c>
      <c r="C8" t="s">
        <v>28</v>
      </c>
      <c r="D8">
        <v>64.8</v>
      </c>
      <c r="E8">
        <v>4.7</v>
      </c>
      <c r="H8" t="s">
        <v>461</v>
      </c>
      <c r="I8">
        <v>1.1265224408940441E-2</v>
      </c>
    </row>
    <row r="9" spans="1:13" x14ac:dyDescent="0.3">
      <c r="A9" t="s">
        <v>32</v>
      </c>
      <c r="B9">
        <v>36</v>
      </c>
      <c r="C9" t="s">
        <v>24</v>
      </c>
      <c r="D9">
        <v>87</v>
      </c>
      <c r="E9">
        <v>18.7</v>
      </c>
      <c r="H9" t="s">
        <v>435</v>
      </c>
      <c r="I9">
        <v>14.935211932907331</v>
      </c>
    </row>
    <row r="10" spans="1:13" ht="14.5" thickBot="1" x14ac:dyDescent="0.35">
      <c r="A10" t="s">
        <v>33</v>
      </c>
      <c r="B10">
        <v>26</v>
      </c>
      <c r="C10" t="s">
        <v>24</v>
      </c>
      <c r="D10">
        <v>91.7</v>
      </c>
      <c r="E10">
        <v>10.1</v>
      </c>
      <c r="H10" s="1" t="s">
        <v>462</v>
      </c>
      <c r="I10" s="1">
        <v>400</v>
      </c>
    </row>
    <row r="11" spans="1:13" x14ac:dyDescent="0.3">
      <c r="A11" t="s">
        <v>34</v>
      </c>
      <c r="B11">
        <v>34</v>
      </c>
      <c r="C11" t="s">
        <v>24</v>
      </c>
      <c r="D11">
        <v>42.2</v>
      </c>
      <c r="E11">
        <v>12.7</v>
      </c>
    </row>
    <row r="12" spans="1:13" ht="14.5" thickBot="1" x14ac:dyDescent="0.35">
      <c r="A12" t="s">
        <v>35</v>
      </c>
      <c r="B12">
        <v>26</v>
      </c>
      <c r="C12" t="s">
        <v>24</v>
      </c>
      <c r="D12">
        <v>55.9</v>
      </c>
      <c r="E12">
        <v>6.2</v>
      </c>
      <c r="H12" t="s">
        <v>463</v>
      </c>
    </row>
    <row r="13" spans="1:13" x14ac:dyDescent="0.3">
      <c r="A13" t="s">
        <v>36</v>
      </c>
      <c r="B13">
        <v>26</v>
      </c>
      <c r="C13" t="s">
        <v>16</v>
      </c>
      <c r="D13">
        <v>88.4</v>
      </c>
      <c r="E13">
        <v>12.5</v>
      </c>
      <c r="H13" s="2"/>
      <c r="I13" s="2" t="s">
        <v>464</v>
      </c>
      <c r="J13" s="2" t="s">
        <v>465</v>
      </c>
      <c r="K13" s="2" t="s">
        <v>466</v>
      </c>
      <c r="L13" s="2" t="s">
        <v>467</v>
      </c>
      <c r="M13" s="2" t="s">
        <v>468</v>
      </c>
    </row>
    <row r="14" spans="1:13" x14ac:dyDescent="0.3">
      <c r="A14" t="s">
        <v>38</v>
      </c>
      <c r="B14">
        <v>31</v>
      </c>
      <c r="C14" t="s">
        <v>16</v>
      </c>
      <c r="D14">
        <v>33</v>
      </c>
      <c r="E14">
        <v>11.3</v>
      </c>
      <c r="H14" t="s">
        <v>469</v>
      </c>
      <c r="I14">
        <v>1</v>
      </c>
      <c r="J14">
        <v>1237.1020186187088</v>
      </c>
      <c r="K14">
        <v>1237.1020186187088</v>
      </c>
      <c r="L14">
        <v>5.5460366623397643</v>
      </c>
      <c r="M14" s="12">
        <v>1.9007301912525924E-2</v>
      </c>
    </row>
    <row r="15" spans="1:13" x14ac:dyDescent="0.3">
      <c r="A15" t="s">
        <v>39</v>
      </c>
      <c r="B15">
        <v>16</v>
      </c>
      <c r="C15" t="s">
        <v>16</v>
      </c>
      <c r="D15">
        <v>70.7</v>
      </c>
      <c r="E15">
        <v>8.6</v>
      </c>
      <c r="H15" t="s">
        <v>470</v>
      </c>
      <c r="I15">
        <v>398</v>
      </c>
      <c r="J15">
        <v>88778.10108138129</v>
      </c>
      <c r="K15">
        <v>223.06055548085752</v>
      </c>
    </row>
    <row r="16" spans="1:13" ht="14.5" hidden="1" thickBot="1" x14ac:dyDescent="0.35">
      <c r="A16" t="s">
        <v>40</v>
      </c>
      <c r="B16">
        <v>16</v>
      </c>
      <c r="C16" t="s">
        <v>24</v>
      </c>
      <c r="D16">
        <v>53.2</v>
      </c>
      <c r="E16">
        <v>0</v>
      </c>
      <c r="H16" s="1" t="s">
        <v>471</v>
      </c>
      <c r="I16" s="1">
        <v>399</v>
      </c>
      <c r="J16" s="1">
        <v>90015.203099999999</v>
      </c>
      <c r="K16" s="1"/>
      <c r="L16" s="1"/>
      <c r="M16" s="1"/>
    </row>
    <row r="17" spans="1:16" ht="14.5" thickBot="1" x14ac:dyDescent="0.35">
      <c r="A17" t="s">
        <v>41</v>
      </c>
      <c r="B17">
        <v>25</v>
      </c>
      <c r="C17" t="s">
        <v>24</v>
      </c>
      <c r="D17">
        <v>37.6</v>
      </c>
      <c r="E17">
        <v>2.8</v>
      </c>
    </row>
    <row r="18" spans="1:16" x14ac:dyDescent="0.3">
      <c r="A18" t="s">
        <v>42</v>
      </c>
      <c r="B18">
        <v>21</v>
      </c>
      <c r="C18" t="s">
        <v>16</v>
      </c>
      <c r="D18">
        <v>60.3</v>
      </c>
      <c r="E18">
        <v>13.1</v>
      </c>
      <c r="H18" s="2"/>
      <c r="I18" s="2" t="s">
        <v>472</v>
      </c>
      <c r="J18" s="2" t="s">
        <v>435</v>
      </c>
      <c r="K18" s="2" t="s">
        <v>473</v>
      </c>
      <c r="L18" s="2" t="s">
        <v>474</v>
      </c>
      <c r="M18" s="2" t="s">
        <v>475</v>
      </c>
      <c r="N18" s="2" t="s">
        <v>476</v>
      </c>
      <c r="O18" s="2" t="s">
        <v>477</v>
      </c>
      <c r="P18" s="2" t="s">
        <v>478</v>
      </c>
    </row>
    <row r="19" spans="1:16" x14ac:dyDescent="0.3">
      <c r="A19" t="s">
        <v>43</v>
      </c>
      <c r="B19">
        <v>32</v>
      </c>
      <c r="C19" t="s">
        <v>24</v>
      </c>
      <c r="D19">
        <v>49</v>
      </c>
      <c r="E19">
        <v>11.6</v>
      </c>
      <c r="H19" t="s">
        <v>479</v>
      </c>
      <c r="I19">
        <v>51.471394368086287</v>
      </c>
      <c r="J19">
        <v>1.4166661271708092</v>
      </c>
      <c r="K19">
        <v>36.332762801972692</v>
      </c>
      <c r="L19">
        <v>1.8291095353129941E-128</v>
      </c>
      <c r="M19">
        <v>48.686310469737663</v>
      </c>
      <c r="N19">
        <v>54.256478266434911</v>
      </c>
      <c r="O19">
        <v>48.686310469737663</v>
      </c>
      <c r="P19">
        <v>54.256478266434911</v>
      </c>
    </row>
    <row r="20" spans="1:16" ht="14.5" thickBot="1" x14ac:dyDescent="0.35">
      <c r="A20" t="s">
        <v>44</v>
      </c>
      <c r="B20">
        <v>22</v>
      </c>
      <c r="C20" t="s">
        <v>24</v>
      </c>
      <c r="D20">
        <v>85.1</v>
      </c>
      <c r="E20">
        <v>11.2</v>
      </c>
      <c r="H20" s="1" t="s">
        <v>13</v>
      </c>
      <c r="I20" s="21">
        <v>0.35864713876201082</v>
      </c>
      <c r="J20" s="1">
        <v>0.15229161854602197</v>
      </c>
      <c r="K20" s="1">
        <v>2.3550024760793318</v>
      </c>
      <c r="L20" s="1">
        <v>1.900730191252642E-2</v>
      </c>
      <c r="M20" s="1">
        <v>5.9250600275538745E-2</v>
      </c>
      <c r="N20" s="1">
        <v>0.65804367724848289</v>
      </c>
      <c r="O20" s="1">
        <v>5.9250600275538745E-2</v>
      </c>
      <c r="P20" s="1">
        <v>0.65804367724848289</v>
      </c>
    </row>
    <row r="21" spans="1:16" x14ac:dyDescent="0.3">
      <c r="A21" t="s">
        <v>45</v>
      </c>
      <c r="B21">
        <v>18</v>
      </c>
      <c r="C21" t="s">
        <v>16</v>
      </c>
      <c r="D21">
        <v>52</v>
      </c>
      <c r="E21">
        <v>1.5</v>
      </c>
    </row>
    <row r="22" spans="1:16" x14ac:dyDescent="0.3">
      <c r="A22" t="s">
        <v>46</v>
      </c>
      <c r="B22">
        <v>41</v>
      </c>
      <c r="C22" t="s">
        <v>16</v>
      </c>
      <c r="D22">
        <v>48.1</v>
      </c>
      <c r="E22">
        <v>2.8</v>
      </c>
    </row>
    <row r="23" spans="1:16" x14ac:dyDescent="0.3">
      <c r="A23" t="s">
        <v>47</v>
      </c>
      <c r="B23">
        <v>28</v>
      </c>
      <c r="C23" t="s">
        <v>24</v>
      </c>
      <c r="D23">
        <v>53.1</v>
      </c>
      <c r="E23">
        <v>13.2</v>
      </c>
      <c r="H23" s="25" t="s">
        <v>526</v>
      </c>
    </row>
    <row r="24" spans="1:16" x14ac:dyDescent="0.3">
      <c r="A24" t="s">
        <v>48</v>
      </c>
      <c r="B24">
        <v>30</v>
      </c>
      <c r="C24" t="s">
        <v>24</v>
      </c>
      <c r="D24">
        <v>76.400000000000006</v>
      </c>
      <c r="E24">
        <v>8.9</v>
      </c>
      <c r="H24" t="s">
        <v>531</v>
      </c>
    </row>
    <row r="25" spans="1:16" x14ac:dyDescent="0.3">
      <c r="A25" t="s">
        <v>49</v>
      </c>
      <c r="B25">
        <v>18</v>
      </c>
      <c r="C25" t="s">
        <v>24</v>
      </c>
      <c r="D25">
        <v>77.3</v>
      </c>
      <c r="E25">
        <v>17.600000000000001</v>
      </c>
      <c r="H25" t="s">
        <v>532</v>
      </c>
    </row>
    <row r="26" spans="1:16" x14ac:dyDescent="0.3">
      <c r="A26" t="s">
        <v>50</v>
      </c>
      <c r="B26">
        <v>25</v>
      </c>
      <c r="C26" t="s">
        <v>24</v>
      </c>
      <c r="D26">
        <v>50.3</v>
      </c>
      <c r="E26">
        <v>8.5</v>
      </c>
    </row>
    <row r="27" spans="1:16" x14ac:dyDescent="0.3">
      <c r="A27" t="s">
        <v>51</v>
      </c>
      <c r="B27">
        <v>30</v>
      </c>
      <c r="C27" t="s">
        <v>24</v>
      </c>
      <c r="D27">
        <v>51</v>
      </c>
      <c r="E27">
        <v>8.6</v>
      </c>
      <c r="H27" t="s">
        <v>533</v>
      </c>
    </row>
    <row r="28" spans="1:16" x14ac:dyDescent="0.3">
      <c r="A28" t="s">
        <v>52</v>
      </c>
      <c r="B28">
        <v>20</v>
      </c>
      <c r="C28" t="s">
        <v>24</v>
      </c>
      <c r="D28">
        <v>53.3</v>
      </c>
      <c r="E28">
        <v>7.4</v>
      </c>
    </row>
    <row r="29" spans="1:16" x14ac:dyDescent="0.3">
      <c r="A29" t="s">
        <v>53</v>
      </c>
      <c r="B29">
        <v>33</v>
      </c>
      <c r="C29" t="s">
        <v>24</v>
      </c>
      <c r="D29">
        <v>60</v>
      </c>
      <c r="E29">
        <v>3.5</v>
      </c>
      <c r="H29" t="s">
        <v>534</v>
      </c>
    </row>
    <row r="30" spans="1:16" hidden="1" x14ac:dyDescent="0.3">
      <c r="A30" t="s">
        <v>54</v>
      </c>
      <c r="B30">
        <v>25</v>
      </c>
      <c r="C30" t="s">
        <v>24</v>
      </c>
      <c r="D30">
        <v>61.1</v>
      </c>
      <c r="E30">
        <v>0</v>
      </c>
      <c r="H30" t="s">
        <v>535</v>
      </c>
    </row>
    <row r="31" spans="1:16" x14ac:dyDescent="0.3">
      <c r="A31" t="s">
        <v>55</v>
      </c>
      <c r="B31">
        <v>27</v>
      </c>
      <c r="C31" t="s">
        <v>16</v>
      </c>
      <c r="D31">
        <v>38</v>
      </c>
      <c r="E31">
        <v>9.1</v>
      </c>
    </row>
    <row r="32" spans="1:16" x14ac:dyDescent="0.3">
      <c r="A32" t="s">
        <v>56</v>
      </c>
      <c r="B32">
        <v>25</v>
      </c>
      <c r="C32" t="s">
        <v>16</v>
      </c>
      <c r="D32">
        <v>52.1</v>
      </c>
      <c r="E32">
        <v>8.9</v>
      </c>
    </row>
    <row r="33" spans="1:5" x14ac:dyDescent="0.3">
      <c r="A33" t="s">
        <v>57</v>
      </c>
      <c r="B33">
        <v>44</v>
      </c>
      <c r="C33" t="s">
        <v>16</v>
      </c>
      <c r="D33">
        <v>42.6</v>
      </c>
      <c r="E33">
        <v>5.0999999999999996</v>
      </c>
    </row>
    <row r="34" spans="1:5" x14ac:dyDescent="0.3">
      <c r="A34" t="s">
        <v>58</v>
      </c>
      <c r="B34">
        <v>29</v>
      </c>
      <c r="C34" t="s">
        <v>24</v>
      </c>
      <c r="D34">
        <v>60.3</v>
      </c>
      <c r="E34">
        <v>0.2</v>
      </c>
    </row>
    <row r="35" spans="1:5" x14ac:dyDescent="0.3">
      <c r="A35" t="s">
        <v>59</v>
      </c>
      <c r="B35">
        <v>21</v>
      </c>
      <c r="C35" t="s">
        <v>24</v>
      </c>
      <c r="D35">
        <v>57</v>
      </c>
      <c r="E35">
        <v>11.4</v>
      </c>
    </row>
    <row r="36" spans="1:5" x14ac:dyDescent="0.3">
      <c r="A36" t="s">
        <v>60</v>
      </c>
      <c r="B36">
        <v>36</v>
      </c>
      <c r="C36" t="s">
        <v>24</v>
      </c>
      <c r="D36">
        <v>39.6</v>
      </c>
      <c r="E36">
        <v>4.2</v>
      </c>
    </row>
    <row r="37" spans="1:5" x14ac:dyDescent="0.3">
      <c r="A37" t="s">
        <v>61</v>
      </c>
      <c r="B37">
        <v>20</v>
      </c>
      <c r="C37" t="s">
        <v>16</v>
      </c>
      <c r="D37">
        <v>53.6</v>
      </c>
      <c r="E37">
        <v>14.3</v>
      </c>
    </row>
    <row r="38" spans="1:5" x14ac:dyDescent="0.3">
      <c r="A38" t="s">
        <v>62</v>
      </c>
      <c r="B38">
        <v>31</v>
      </c>
      <c r="C38" t="s">
        <v>16</v>
      </c>
      <c r="D38">
        <v>45.7</v>
      </c>
      <c r="E38">
        <v>15.2</v>
      </c>
    </row>
    <row r="39" spans="1:5" hidden="1" x14ac:dyDescent="0.3">
      <c r="A39" t="s">
        <v>63</v>
      </c>
      <c r="B39">
        <v>16</v>
      </c>
      <c r="C39" t="s">
        <v>16</v>
      </c>
      <c r="D39">
        <v>68.099999999999994</v>
      </c>
      <c r="E39">
        <v>0</v>
      </c>
    </row>
    <row r="40" spans="1:5" x14ac:dyDescent="0.3">
      <c r="A40" t="s">
        <v>64</v>
      </c>
      <c r="B40">
        <v>19</v>
      </c>
      <c r="C40" t="s">
        <v>16</v>
      </c>
      <c r="D40">
        <v>49.8</v>
      </c>
      <c r="E40">
        <v>7.6</v>
      </c>
    </row>
    <row r="41" spans="1:5" x14ac:dyDescent="0.3">
      <c r="A41" t="s">
        <v>65</v>
      </c>
      <c r="B41">
        <v>31</v>
      </c>
      <c r="C41" t="s">
        <v>24</v>
      </c>
      <c r="D41">
        <v>51.6</v>
      </c>
      <c r="E41">
        <v>5.7</v>
      </c>
    </row>
    <row r="42" spans="1:5" x14ac:dyDescent="0.3">
      <c r="A42" t="s">
        <v>66</v>
      </c>
      <c r="B42">
        <v>35</v>
      </c>
      <c r="C42" t="s">
        <v>16</v>
      </c>
      <c r="D42">
        <v>67.400000000000006</v>
      </c>
      <c r="E42">
        <v>19.399999999999999</v>
      </c>
    </row>
    <row r="43" spans="1:5" x14ac:dyDescent="0.3">
      <c r="A43" t="s">
        <v>67</v>
      </c>
      <c r="B43">
        <v>31</v>
      </c>
      <c r="C43" t="s">
        <v>16</v>
      </c>
      <c r="D43">
        <v>51.7</v>
      </c>
      <c r="E43">
        <v>1.1000000000000001</v>
      </c>
    </row>
    <row r="44" spans="1:5" x14ac:dyDescent="0.3">
      <c r="A44" t="s">
        <v>68</v>
      </c>
      <c r="B44">
        <v>29</v>
      </c>
      <c r="C44" t="s">
        <v>24</v>
      </c>
      <c r="D44">
        <v>77.7</v>
      </c>
      <c r="E44">
        <v>17.5</v>
      </c>
    </row>
    <row r="45" spans="1:5" x14ac:dyDescent="0.3">
      <c r="A45" t="s">
        <v>69</v>
      </c>
      <c r="B45">
        <v>27</v>
      </c>
      <c r="C45" t="s">
        <v>16</v>
      </c>
      <c r="D45">
        <v>37.6</v>
      </c>
      <c r="E45">
        <v>3.5</v>
      </c>
    </row>
    <row r="46" spans="1:5" x14ac:dyDescent="0.3">
      <c r="A46" t="s">
        <v>70</v>
      </c>
      <c r="B46">
        <v>18</v>
      </c>
      <c r="C46" t="s">
        <v>16</v>
      </c>
      <c r="D46">
        <v>58.8</v>
      </c>
      <c r="E46">
        <v>8</v>
      </c>
    </row>
    <row r="47" spans="1:5" x14ac:dyDescent="0.3">
      <c r="A47" t="s">
        <v>71</v>
      </c>
      <c r="B47">
        <v>24</v>
      </c>
      <c r="C47" t="s">
        <v>24</v>
      </c>
      <c r="D47">
        <v>79.599999999999994</v>
      </c>
      <c r="E47">
        <v>8</v>
      </c>
    </row>
    <row r="48" spans="1:5" x14ac:dyDescent="0.3">
      <c r="A48" t="s">
        <v>72</v>
      </c>
      <c r="B48">
        <v>26</v>
      </c>
      <c r="C48" t="s">
        <v>16</v>
      </c>
      <c r="D48">
        <v>49.2</v>
      </c>
      <c r="E48">
        <v>8.4</v>
      </c>
    </row>
    <row r="49" spans="1:5" x14ac:dyDescent="0.3">
      <c r="A49" t="s">
        <v>73</v>
      </c>
      <c r="B49">
        <v>38</v>
      </c>
      <c r="C49" t="s">
        <v>24</v>
      </c>
      <c r="D49">
        <v>34.799999999999997</v>
      </c>
      <c r="E49">
        <v>13.9</v>
      </c>
    </row>
    <row r="50" spans="1:5" x14ac:dyDescent="0.3">
      <c r="A50" t="s">
        <v>74</v>
      </c>
      <c r="B50">
        <v>32</v>
      </c>
      <c r="C50" t="s">
        <v>24</v>
      </c>
      <c r="D50">
        <v>52.8</v>
      </c>
      <c r="E50">
        <v>0.5</v>
      </c>
    </row>
    <row r="51" spans="1:5" x14ac:dyDescent="0.3">
      <c r="A51" t="s">
        <v>75</v>
      </c>
      <c r="B51">
        <v>16</v>
      </c>
      <c r="C51" t="s">
        <v>24</v>
      </c>
      <c r="D51">
        <v>27.1</v>
      </c>
      <c r="E51">
        <v>9.1999999999999993</v>
      </c>
    </row>
    <row r="52" spans="1:5" x14ac:dyDescent="0.3">
      <c r="A52" t="s">
        <v>76</v>
      </c>
      <c r="B52">
        <v>32</v>
      </c>
      <c r="C52" t="s">
        <v>16</v>
      </c>
      <c r="D52">
        <v>56.8</v>
      </c>
      <c r="E52">
        <v>8.1</v>
      </c>
    </row>
    <row r="53" spans="1:5" x14ac:dyDescent="0.3">
      <c r="A53" t="s">
        <v>77</v>
      </c>
      <c r="B53">
        <v>26</v>
      </c>
      <c r="C53" t="s">
        <v>24</v>
      </c>
      <c r="D53">
        <v>38.5</v>
      </c>
      <c r="E53">
        <v>5.4</v>
      </c>
    </row>
    <row r="54" spans="1:5" x14ac:dyDescent="0.3">
      <c r="A54" t="s">
        <v>78</v>
      </c>
      <c r="B54">
        <v>24</v>
      </c>
      <c r="C54" t="s">
        <v>16</v>
      </c>
      <c r="D54">
        <v>44.9</v>
      </c>
      <c r="E54">
        <v>21.6</v>
      </c>
    </row>
    <row r="55" spans="1:5" x14ac:dyDescent="0.3">
      <c r="A55" t="s">
        <v>79</v>
      </c>
      <c r="B55">
        <v>34</v>
      </c>
      <c r="C55" t="s">
        <v>16</v>
      </c>
      <c r="D55">
        <v>44.8</v>
      </c>
      <c r="E55">
        <v>5.4</v>
      </c>
    </row>
    <row r="56" spans="1:5" x14ac:dyDescent="0.3">
      <c r="A56" t="s">
        <v>80</v>
      </c>
      <c r="B56">
        <v>38</v>
      </c>
      <c r="C56" t="s">
        <v>16</v>
      </c>
      <c r="D56">
        <v>60</v>
      </c>
      <c r="E56">
        <v>10.199999999999999</v>
      </c>
    </row>
    <row r="57" spans="1:5" x14ac:dyDescent="0.3">
      <c r="A57" t="s">
        <v>81</v>
      </c>
      <c r="B57">
        <v>37</v>
      </c>
      <c r="C57" t="s">
        <v>28</v>
      </c>
      <c r="D57">
        <v>51.7</v>
      </c>
      <c r="E57">
        <v>11.5</v>
      </c>
    </row>
    <row r="58" spans="1:5" x14ac:dyDescent="0.3">
      <c r="A58" t="s">
        <v>82</v>
      </c>
      <c r="B58">
        <v>23</v>
      </c>
      <c r="C58" t="s">
        <v>16</v>
      </c>
      <c r="D58">
        <v>74</v>
      </c>
      <c r="E58">
        <v>1</v>
      </c>
    </row>
    <row r="59" spans="1:5" x14ac:dyDescent="0.3">
      <c r="A59" t="s">
        <v>83</v>
      </c>
      <c r="B59">
        <v>27</v>
      </c>
      <c r="C59" t="s">
        <v>16</v>
      </c>
      <c r="D59">
        <v>81</v>
      </c>
      <c r="E59">
        <v>18.8</v>
      </c>
    </row>
    <row r="60" spans="1:5" hidden="1" x14ac:dyDescent="0.3">
      <c r="A60" t="s">
        <v>84</v>
      </c>
      <c r="B60">
        <v>32</v>
      </c>
      <c r="C60" t="s">
        <v>24</v>
      </c>
      <c r="D60">
        <v>67.8</v>
      </c>
      <c r="E60">
        <v>0</v>
      </c>
    </row>
    <row r="61" spans="1:5" x14ac:dyDescent="0.3">
      <c r="A61" t="s">
        <v>85</v>
      </c>
      <c r="B61">
        <v>37</v>
      </c>
      <c r="C61" t="s">
        <v>16</v>
      </c>
      <c r="D61">
        <v>40.299999999999997</v>
      </c>
      <c r="E61">
        <v>6.1</v>
      </c>
    </row>
    <row r="62" spans="1:5" x14ac:dyDescent="0.3">
      <c r="A62" t="s">
        <v>86</v>
      </c>
      <c r="B62">
        <v>26</v>
      </c>
      <c r="C62" t="s">
        <v>16</v>
      </c>
      <c r="D62">
        <v>46.3</v>
      </c>
      <c r="E62">
        <v>5.6</v>
      </c>
    </row>
    <row r="63" spans="1:5" x14ac:dyDescent="0.3">
      <c r="A63" t="s">
        <v>87</v>
      </c>
      <c r="B63">
        <v>28</v>
      </c>
      <c r="C63" t="s">
        <v>16</v>
      </c>
      <c r="D63">
        <v>45.8</v>
      </c>
      <c r="E63">
        <v>7.9</v>
      </c>
    </row>
    <row r="64" spans="1:5" x14ac:dyDescent="0.3">
      <c r="A64" t="s">
        <v>88</v>
      </c>
      <c r="B64">
        <v>21</v>
      </c>
      <c r="C64" t="s">
        <v>16</v>
      </c>
      <c r="D64">
        <v>42.2</v>
      </c>
      <c r="E64">
        <v>2.8</v>
      </c>
    </row>
    <row r="65" spans="1:5" x14ac:dyDescent="0.3">
      <c r="A65" t="s">
        <v>89</v>
      </c>
      <c r="B65">
        <v>20</v>
      </c>
      <c r="C65" t="s">
        <v>16</v>
      </c>
      <c r="D65">
        <v>51.1</v>
      </c>
      <c r="E65">
        <v>7.7</v>
      </c>
    </row>
    <row r="66" spans="1:5" x14ac:dyDescent="0.3">
      <c r="A66" t="s">
        <v>90</v>
      </c>
      <c r="B66">
        <v>36</v>
      </c>
      <c r="C66" t="s">
        <v>16</v>
      </c>
      <c r="D66">
        <v>48.3</v>
      </c>
      <c r="E66">
        <v>7.9</v>
      </c>
    </row>
    <row r="67" spans="1:5" x14ac:dyDescent="0.3">
      <c r="A67" t="s">
        <v>91</v>
      </c>
      <c r="B67">
        <v>40</v>
      </c>
      <c r="C67" t="s">
        <v>24</v>
      </c>
      <c r="D67">
        <v>86.3</v>
      </c>
      <c r="E67">
        <v>2.2000000000000002</v>
      </c>
    </row>
    <row r="68" spans="1:5" hidden="1" x14ac:dyDescent="0.3">
      <c r="A68" t="s">
        <v>92</v>
      </c>
      <c r="B68">
        <v>29</v>
      </c>
      <c r="C68" t="s">
        <v>16</v>
      </c>
      <c r="D68">
        <v>38</v>
      </c>
      <c r="E68">
        <v>0</v>
      </c>
    </row>
    <row r="69" spans="1:5" x14ac:dyDescent="0.3">
      <c r="A69" t="s">
        <v>93</v>
      </c>
      <c r="B69">
        <v>38</v>
      </c>
      <c r="C69" t="s">
        <v>16</v>
      </c>
      <c r="D69">
        <v>50.3</v>
      </c>
      <c r="E69">
        <v>10</v>
      </c>
    </row>
    <row r="70" spans="1:5" x14ac:dyDescent="0.3">
      <c r="A70" t="s">
        <v>94</v>
      </c>
      <c r="B70">
        <v>32</v>
      </c>
      <c r="C70" t="s">
        <v>24</v>
      </c>
      <c r="D70">
        <v>76.5</v>
      </c>
      <c r="E70">
        <v>11.5</v>
      </c>
    </row>
    <row r="71" spans="1:5" x14ac:dyDescent="0.3">
      <c r="A71" t="s">
        <v>95</v>
      </c>
      <c r="B71">
        <v>24</v>
      </c>
      <c r="C71" t="s">
        <v>16</v>
      </c>
      <c r="D71">
        <v>65.099999999999994</v>
      </c>
      <c r="E71">
        <v>17.2</v>
      </c>
    </row>
    <row r="72" spans="1:5" x14ac:dyDescent="0.3">
      <c r="A72" t="s">
        <v>96</v>
      </c>
      <c r="B72">
        <v>32</v>
      </c>
      <c r="C72" t="s">
        <v>24</v>
      </c>
      <c r="D72">
        <v>59</v>
      </c>
      <c r="E72">
        <v>4.5</v>
      </c>
    </row>
    <row r="73" spans="1:5" x14ac:dyDescent="0.3">
      <c r="A73" t="s">
        <v>97</v>
      </c>
      <c r="B73">
        <v>42</v>
      </c>
      <c r="C73" t="s">
        <v>16</v>
      </c>
      <c r="D73">
        <v>43</v>
      </c>
      <c r="E73">
        <v>12.5</v>
      </c>
    </row>
    <row r="74" spans="1:5" x14ac:dyDescent="0.3">
      <c r="A74" t="s">
        <v>98</v>
      </c>
      <c r="B74">
        <v>29</v>
      </c>
      <c r="C74" t="s">
        <v>16</v>
      </c>
      <c r="D74">
        <v>68.5</v>
      </c>
      <c r="E74">
        <v>5.5</v>
      </c>
    </row>
    <row r="75" spans="1:5" x14ac:dyDescent="0.3">
      <c r="A75" t="s">
        <v>99</v>
      </c>
      <c r="B75">
        <v>42</v>
      </c>
      <c r="C75" t="s">
        <v>16</v>
      </c>
      <c r="D75">
        <v>56</v>
      </c>
      <c r="E75">
        <v>15.5</v>
      </c>
    </row>
    <row r="76" spans="1:5" x14ac:dyDescent="0.3">
      <c r="A76" t="s">
        <v>100</v>
      </c>
      <c r="B76">
        <v>16</v>
      </c>
      <c r="C76" t="s">
        <v>16</v>
      </c>
      <c r="D76">
        <v>74.5</v>
      </c>
      <c r="E76">
        <v>12.8</v>
      </c>
    </row>
    <row r="77" spans="1:5" x14ac:dyDescent="0.3">
      <c r="A77" t="s">
        <v>101</v>
      </c>
      <c r="B77">
        <v>36</v>
      </c>
      <c r="C77" t="s">
        <v>16</v>
      </c>
      <c r="D77">
        <v>51.1</v>
      </c>
      <c r="E77">
        <v>9.9</v>
      </c>
    </row>
    <row r="78" spans="1:5" x14ac:dyDescent="0.3">
      <c r="A78" t="s">
        <v>102</v>
      </c>
      <c r="B78">
        <v>30</v>
      </c>
      <c r="C78" t="s">
        <v>16</v>
      </c>
      <c r="D78">
        <v>60.5</v>
      </c>
      <c r="E78">
        <v>6</v>
      </c>
    </row>
    <row r="79" spans="1:5" x14ac:dyDescent="0.3">
      <c r="A79" t="s">
        <v>103</v>
      </c>
      <c r="B79">
        <v>27</v>
      </c>
      <c r="C79" t="s">
        <v>16</v>
      </c>
      <c r="D79">
        <v>88</v>
      </c>
      <c r="E79">
        <v>16.600000000000001</v>
      </c>
    </row>
    <row r="80" spans="1:5" x14ac:dyDescent="0.3">
      <c r="A80" t="s">
        <v>104</v>
      </c>
      <c r="B80">
        <v>30</v>
      </c>
      <c r="C80" t="s">
        <v>16</v>
      </c>
      <c r="D80">
        <v>41.5</v>
      </c>
      <c r="E80">
        <v>10.3</v>
      </c>
    </row>
    <row r="81" spans="1:5" x14ac:dyDescent="0.3">
      <c r="A81" t="s">
        <v>105</v>
      </c>
      <c r="B81">
        <v>16</v>
      </c>
      <c r="C81" t="s">
        <v>16</v>
      </c>
      <c r="D81">
        <v>67.7</v>
      </c>
      <c r="E81">
        <v>3.4</v>
      </c>
    </row>
    <row r="82" spans="1:5" x14ac:dyDescent="0.3">
      <c r="A82" t="s">
        <v>106</v>
      </c>
      <c r="B82">
        <v>28</v>
      </c>
      <c r="C82" t="s">
        <v>16</v>
      </c>
      <c r="D82">
        <v>45.5</v>
      </c>
      <c r="E82">
        <v>0.9</v>
      </c>
    </row>
    <row r="83" spans="1:5" x14ac:dyDescent="0.3">
      <c r="A83" t="s">
        <v>107</v>
      </c>
      <c r="B83">
        <v>32</v>
      </c>
      <c r="C83" t="s">
        <v>16</v>
      </c>
      <c r="D83">
        <v>88.3</v>
      </c>
      <c r="E83">
        <v>7.1</v>
      </c>
    </row>
    <row r="84" spans="1:5" x14ac:dyDescent="0.3">
      <c r="A84" t="s">
        <v>108</v>
      </c>
      <c r="B84">
        <v>41</v>
      </c>
      <c r="C84" t="s">
        <v>16</v>
      </c>
      <c r="D84">
        <v>66.3</v>
      </c>
      <c r="E84">
        <v>15.8</v>
      </c>
    </row>
    <row r="85" spans="1:5" x14ac:dyDescent="0.3">
      <c r="A85" t="s">
        <v>109</v>
      </c>
      <c r="B85">
        <v>25</v>
      </c>
      <c r="C85" t="s">
        <v>24</v>
      </c>
      <c r="D85">
        <v>55.9</v>
      </c>
      <c r="E85">
        <v>11.4</v>
      </c>
    </row>
    <row r="86" spans="1:5" x14ac:dyDescent="0.3">
      <c r="A86" t="s">
        <v>110</v>
      </c>
      <c r="B86">
        <v>23</v>
      </c>
      <c r="C86" t="s">
        <v>16</v>
      </c>
      <c r="D86">
        <v>82.3</v>
      </c>
      <c r="E86">
        <v>2.8</v>
      </c>
    </row>
    <row r="87" spans="1:5" x14ac:dyDescent="0.3">
      <c r="A87" t="s">
        <v>111</v>
      </c>
      <c r="B87">
        <v>25</v>
      </c>
      <c r="C87" t="s">
        <v>24</v>
      </c>
      <c r="D87">
        <v>64.400000000000006</v>
      </c>
      <c r="E87">
        <v>3.6</v>
      </c>
    </row>
    <row r="88" spans="1:5" x14ac:dyDescent="0.3">
      <c r="A88" t="s">
        <v>112</v>
      </c>
      <c r="B88">
        <v>37</v>
      </c>
      <c r="C88" t="s">
        <v>24</v>
      </c>
      <c r="D88">
        <v>50.4</v>
      </c>
      <c r="E88">
        <v>13.5</v>
      </c>
    </row>
    <row r="89" spans="1:5" x14ac:dyDescent="0.3">
      <c r="A89" t="s">
        <v>113</v>
      </c>
      <c r="B89">
        <v>32</v>
      </c>
      <c r="C89" t="s">
        <v>16</v>
      </c>
      <c r="D89">
        <v>46.5</v>
      </c>
      <c r="E89">
        <v>4.5</v>
      </c>
    </row>
    <row r="90" spans="1:5" x14ac:dyDescent="0.3">
      <c r="A90" t="s">
        <v>114</v>
      </c>
      <c r="B90">
        <v>25</v>
      </c>
      <c r="C90" t="s">
        <v>24</v>
      </c>
      <c r="D90">
        <v>58.3</v>
      </c>
      <c r="E90">
        <v>12</v>
      </c>
    </row>
    <row r="91" spans="1:5" x14ac:dyDescent="0.3">
      <c r="A91" t="s">
        <v>115</v>
      </c>
      <c r="B91">
        <v>34</v>
      </c>
      <c r="C91" t="s">
        <v>24</v>
      </c>
      <c r="D91">
        <v>68.7</v>
      </c>
      <c r="E91">
        <v>5.9</v>
      </c>
    </row>
    <row r="92" spans="1:5" x14ac:dyDescent="0.3">
      <c r="A92" t="s">
        <v>116</v>
      </c>
      <c r="B92">
        <v>30</v>
      </c>
      <c r="C92" t="s">
        <v>16</v>
      </c>
      <c r="D92">
        <v>43.9</v>
      </c>
      <c r="E92">
        <v>16.100000000000001</v>
      </c>
    </row>
    <row r="93" spans="1:5" x14ac:dyDescent="0.3">
      <c r="A93" t="s">
        <v>117</v>
      </c>
      <c r="B93">
        <v>37</v>
      </c>
      <c r="C93" t="s">
        <v>16</v>
      </c>
      <c r="D93">
        <v>40.6</v>
      </c>
      <c r="E93">
        <v>4</v>
      </c>
    </row>
    <row r="94" spans="1:5" x14ac:dyDescent="0.3">
      <c r="A94" t="s">
        <v>118</v>
      </c>
      <c r="B94">
        <v>24</v>
      </c>
      <c r="C94" t="s">
        <v>24</v>
      </c>
      <c r="D94">
        <v>57.1</v>
      </c>
      <c r="E94">
        <v>14.6</v>
      </c>
    </row>
    <row r="95" spans="1:5" x14ac:dyDescent="0.3">
      <c r="A95" t="s">
        <v>119</v>
      </c>
      <c r="B95">
        <v>27</v>
      </c>
      <c r="C95" t="s">
        <v>24</v>
      </c>
      <c r="D95">
        <v>49.9</v>
      </c>
      <c r="E95">
        <v>5.7</v>
      </c>
    </row>
    <row r="96" spans="1:5" hidden="1" x14ac:dyDescent="0.3">
      <c r="A96" t="s">
        <v>120</v>
      </c>
      <c r="B96">
        <v>26</v>
      </c>
      <c r="C96" t="s">
        <v>16</v>
      </c>
      <c r="D96">
        <v>95</v>
      </c>
      <c r="E96">
        <v>8.6999999999999993</v>
      </c>
    </row>
    <row r="97" spans="1:5" hidden="1" x14ac:dyDescent="0.3">
      <c r="A97" t="s">
        <v>121</v>
      </c>
      <c r="B97">
        <v>18</v>
      </c>
      <c r="C97" t="s">
        <v>16</v>
      </c>
      <c r="D97">
        <v>51.5</v>
      </c>
      <c r="E97">
        <v>0</v>
      </c>
    </row>
    <row r="98" spans="1:5" hidden="1" x14ac:dyDescent="0.3">
      <c r="A98" t="s">
        <v>122</v>
      </c>
      <c r="B98">
        <v>32</v>
      </c>
      <c r="C98" t="s">
        <v>16</v>
      </c>
      <c r="D98">
        <v>53.5</v>
      </c>
      <c r="E98">
        <v>0</v>
      </c>
    </row>
    <row r="99" spans="1:5" x14ac:dyDescent="0.3">
      <c r="A99" t="s">
        <v>123</v>
      </c>
      <c r="B99">
        <v>32</v>
      </c>
      <c r="C99" t="s">
        <v>16</v>
      </c>
      <c r="D99">
        <v>48.4</v>
      </c>
      <c r="E99">
        <v>6.1</v>
      </c>
    </row>
    <row r="100" spans="1:5" x14ac:dyDescent="0.3">
      <c r="A100" t="s">
        <v>124</v>
      </c>
      <c r="B100">
        <v>30</v>
      </c>
      <c r="C100" t="s">
        <v>24</v>
      </c>
      <c r="D100">
        <v>61.4</v>
      </c>
      <c r="E100">
        <v>10.6</v>
      </c>
    </row>
    <row r="101" spans="1:5" x14ac:dyDescent="0.3">
      <c r="A101" t="s">
        <v>125</v>
      </c>
      <c r="B101">
        <v>28</v>
      </c>
      <c r="C101" t="s">
        <v>16</v>
      </c>
      <c r="D101">
        <v>53.9</v>
      </c>
      <c r="E101">
        <v>4.3</v>
      </c>
    </row>
    <row r="102" spans="1:5" x14ac:dyDescent="0.3">
      <c r="A102" t="s">
        <v>126</v>
      </c>
      <c r="B102">
        <v>18</v>
      </c>
      <c r="C102" t="s">
        <v>16</v>
      </c>
      <c r="D102">
        <v>58.5</v>
      </c>
      <c r="E102">
        <v>2.7</v>
      </c>
    </row>
    <row r="103" spans="1:5" x14ac:dyDescent="0.3">
      <c r="A103" t="s">
        <v>127</v>
      </c>
      <c r="B103">
        <v>26</v>
      </c>
      <c r="C103" t="s">
        <v>24</v>
      </c>
      <c r="D103">
        <v>45.4</v>
      </c>
      <c r="E103">
        <v>8.3000000000000007</v>
      </c>
    </row>
    <row r="104" spans="1:5" x14ac:dyDescent="0.3">
      <c r="A104" t="s">
        <v>128</v>
      </c>
      <c r="B104">
        <v>27</v>
      </c>
      <c r="C104" t="s">
        <v>16</v>
      </c>
      <c r="D104">
        <v>74.8</v>
      </c>
      <c r="E104">
        <v>10.9</v>
      </c>
    </row>
    <row r="105" spans="1:5" x14ac:dyDescent="0.3">
      <c r="A105" t="s">
        <v>129</v>
      </c>
      <c r="B105">
        <v>23</v>
      </c>
      <c r="C105" t="s">
        <v>16</v>
      </c>
      <c r="D105">
        <v>66.8</v>
      </c>
      <c r="E105">
        <v>8.1</v>
      </c>
    </row>
    <row r="106" spans="1:5" x14ac:dyDescent="0.3">
      <c r="A106" t="s">
        <v>130</v>
      </c>
      <c r="B106">
        <v>28</v>
      </c>
      <c r="C106" t="s">
        <v>24</v>
      </c>
      <c r="D106">
        <v>33.200000000000003</v>
      </c>
      <c r="E106">
        <v>6.6</v>
      </c>
    </row>
    <row r="107" spans="1:5" x14ac:dyDescent="0.3">
      <c r="A107" t="s">
        <v>131</v>
      </c>
      <c r="B107">
        <v>33</v>
      </c>
      <c r="C107" t="s">
        <v>24</v>
      </c>
      <c r="D107">
        <v>68.3</v>
      </c>
      <c r="E107">
        <v>2</v>
      </c>
    </row>
    <row r="108" spans="1:5" x14ac:dyDescent="0.3">
      <c r="A108" t="s">
        <v>132</v>
      </c>
      <c r="B108">
        <v>45</v>
      </c>
      <c r="C108" t="s">
        <v>16</v>
      </c>
      <c r="D108">
        <v>36.1</v>
      </c>
      <c r="E108">
        <v>4.5999999999999996</v>
      </c>
    </row>
    <row r="109" spans="1:5" x14ac:dyDescent="0.3">
      <c r="A109" t="s">
        <v>133</v>
      </c>
      <c r="B109">
        <v>31</v>
      </c>
      <c r="C109" t="s">
        <v>24</v>
      </c>
      <c r="D109">
        <v>36.4</v>
      </c>
      <c r="E109">
        <v>14.9</v>
      </c>
    </row>
    <row r="110" spans="1:5" x14ac:dyDescent="0.3">
      <c r="A110" t="s">
        <v>134</v>
      </c>
      <c r="B110">
        <v>32</v>
      </c>
      <c r="C110" t="s">
        <v>16</v>
      </c>
      <c r="D110">
        <v>26</v>
      </c>
      <c r="E110">
        <v>3</v>
      </c>
    </row>
    <row r="111" spans="1:5" x14ac:dyDescent="0.3">
      <c r="A111" t="s">
        <v>135</v>
      </c>
      <c r="B111">
        <v>29</v>
      </c>
      <c r="C111" t="s">
        <v>16</v>
      </c>
      <c r="D111">
        <v>44.8</v>
      </c>
      <c r="E111">
        <v>9.3000000000000007</v>
      </c>
    </row>
    <row r="112" spans="1:5" x14ac:dyDescent="0.3">
      <c r="A112" t="s">
        <v>136</v>
      </c>
      <c r="B112">
        <v>16</v>
      </c>
      <c r="C112" t="s">
        <v>24</v>
      </c>
      <c r="D112">
        <v>86.8</v>
      </c>
      <c r="E112">
        <v>20</v>
      </c>
    </row>
    <row r="113" spans="1:5" hidden="1" x14ac:dyDescent="0.3">
      <c r="A113" t="s">
        <v>137</v>
      </c>
      <c r="B113">
        <v>29</v>
      </c>
      <c r="C113" t="s">
        <v>16</v>
      </c>
      <c r="D113">
        <v>42.3</v>
      </c>
      <c r="E113">
        <v>0</v>
      </c>
    </row>
    <row r="114" spans="1:5" x14ac:dyDescent="0.3">
      <c r="A114" t="s">
        <v>138</v>
      </c>
      <c r="B114">
        <v>30</v>
      </c>
      <c r="C114" t="s">
        <v>16</v>
      </c>
      <c r="D114">
        <v>35.9</v>
      </c>
      <c r="E114">
        <v>11.5</v>
      </c>
    </row>
    <row r="115" spans="1:5" x14ac:dyDescent="0.3">
      <c r="A115" t="s">
        <v>139</v>
      </c>
      <c r="B115">
        <v>49</v>
      </c>
      <c r="C115" t="s">
        <v>16</v>
      </c>
      <c r="D115">
        <v>56.7</v>
      </c>
      <c r="E115">
        <v>13.9</v>
      </c>
    </row>
    <row r="116" spans="1:5" x14ac:dyDescent="0.3">
      <c r="A116" t="s">
        <v>140</v>
      </c>
      <c r="B116">
        <v>28</v>
      </c>
      <c r="C116" t="s">
        <v>16</v>
      </c>
      <c r="D116">
        <v>37.299999999999997</v>
      </c>
      <c r="E116">
        <v>5.7</v>
      </c>
    </row>
    <row r="117" spans="1:5" x14ac:dyDescent="0.3">
      <c r="A117" t="s">
        <v>141</v>
      </c>
      <c r="B117">
        <v>32</v>
      </c>
      <c r="C117" t="s">
        <v>16</v>
      </c>
      <c r="D117">
        <v>52.6</v>
      </c>
      <c r="E117">
        <v>11.6</v>
      </c>
    </row>
    <row r="118" spans="1:5" hidden="1" x14ac:dyDescent="0.3">
      <c r="A118" t="s">
        <v>142</v>
      </c>
      <c r="B118">
        <v>29</v>
      </c>
      <c r="C118" t="s">
        <v>16</v>
      </c>
      <c r="D118">
        <v>55.1</v>
      </c>
      <c r="E118">
        <v>0</v>
      </c>
    </row>
    <row r="119" spans="1:5" x14ac:dyDescent="0.3">
      <c r="A119" t="s">
        <v>143</v>
      </c>
      <c r="B119">
        <v>20</v>
      </c>
      <c r="C119" t="s">
        <v>16</v>
      </c>
      <c r="D119">
        <v>56.2</v>
      </c>
      <c r="E119">
        <v>5.4</v>
      </c>
    </row>
    <row r="120" spans="1:5" hidden="1" x14ac:dyDescent="0.3">
      <c r="A120" t="s">
        <v>144</v>
      </c>
      <c r="B120">
        <v>39</v>
      </c>
      <c r="C120" t="s">
        <v>16</v>
      </c>
      <c r="D120">
        <v>100</v>
      </c>
      <c r="E120">
        <v>15.7</v>
      </c>
    </row>
    <row r="121" spans="1:5" x14ac:dyDescent="0.3">
      <c r="A121" t="s">
        <v>145</v>
      </c>
      <c r="B121">
        <v>36</v>
      </c>
      <c r="C121" t="s">
        <v>24</v>
      </c>
      <c r="D121">
        <v>47.2</v>
      </c>
      <c r="E121">
        <v>12.6</v>
      </c>
    </row>
    <row r="122" spans="1:5" x14ac:dyDescent="0.3">
      <c r="A122" t="s">
        <v>146</v>
      </c>
      <c r="B122">
        <v>36</v>
      </c>
      <c r="C122" t="s">
        <v>24</v>
      </c>
      <c r="D122">
        <v>52.1</v>
      </c>
      <c r="E122">
        <v>14.6</v>
      </c>
    </row>
    <row r="123" spans="1:5" x14ac:dyDescent="0.3">
      <c r="A123" t="s">
        <v>147</v>
      </c>
      <c r="B123">
        <v>22</v>
      </c>
      <c r="C123" t="s">
        <v>24</v>
      </c>
      <c r="D123">
        <v>73</v>
      </c>
      <c r="E123">
        <v>15.4</v>
      </c>
    </row>
    <row r="124" spans="1:5" x14ac:dyDescent="0.3">
      <c r="A124" t="s">
        <v>148</v>
      </c>
      <c r="B124">
        <v>41</v>
      </c>
      <c r="C124" t="s">
        <v>24</v>
      </c>
      <c r="D124">
        <v>80.400000000000006</v>
      </c>
      <c r="E124">
        <v>3.8</v>
      </c>
    </row>
    <row r="125" spans="1:5" x14ac:dyDescent="0.3">
      <c r="A125" t="s">
        <v>149</v>
      </c>
      <c r="B125">
        <v>18</v>
      </c>
      <c r="C125" t="s">
        <v>16</v>
      </c>
      <c r="D125">
        <v>40.9</v>
      </c>
      <c r="E125">
        <v>17</v>
      </c>
    </row>
    <row r="126" spans="1:5" x14ac:dyDescent="0.3">
      <c r="A126" t="s">
        <v>150</v>
      </c>
      <c r="B126">
        <v>34</v>
      </c>
      <c r="C126" t="s">
        <v>16</v>
      </c>
      <c r="D126">
        <v>70.8</v>
      </c>
      <c r="E126">
        <v>10.5</v>
      </c>
    </row>
    <row r="127" spans="1:5" x14ac:dyDescent="0.3">
      <c r="A127" t="s">
        <v>151</v>
      </c>
      <c r="B127">
        <v>47</v>
      </c>
      <c r="C127" t="s">
        <v>24</v>
      </c>
      <c r="D127">
        <v>49.3</v>
      </c>
      <c r="E127">
        <v>16.399999999999999</v>
      </c>
    </row>
    <row r="128" spans="1:5" x14ac:dyDescent="0.3">
      <c r="A128" t="s">
        <v>152</v>
      </c>
      <c r="B128">
        <v>22</v>
      </c>
      <c r="C128" t="s">
        <v>24</v>
      </c>
      <c r="D128">
        <v>67.400000000000006</v>
      </c>
      <c r="E128">
        <v>7.9</v>
      </c>
    </row>
    <row r="129" spans="1:5" x14ac:dyDescent="0.3">
      <c r="A129" t="s">
        <v>153</v>
      </c>
      <c r="B129">
        <v>25</v>
      </c>
      <c r="C129" t="s">
        <v>24</v>
      </c>
      <c r="D129">
        <v>59.5</v>
      </c>
      <c r="E129">
        <v>6.6</v>
      </c>
    </row>
    <row r="130" spans="1:5" x14ac:dyDescent="0.3">
      <c r="A130" t="s">
        <v>154</v>
      </c>
      <c r="B130">
        <v>30</v>
      </c>
      <c r="C130" t="s">
        <v>16</v>
      </c>
      <c r="D130">
        <v>40.9</v>
      </c>
      <c r="E130">
        <v>7.6</v>
      </c>
    </row>
    <row r="131" spans="1:5" hidden="1" x14ac:dyDescent="0.3">
      <c r="A131" t="s">
        <v>155</v>
      </c>
      <c r="B131">
        <v>25</v>
      </c>
      <c r="C131" t="s">
        <v>16</v>
      </c>
      <c r="D131">
        <v>56.7</v>
      </c>
      <c r="E131">
        <v>0</v>
      </c>
    </row>
    <row r="132" spans="1:5" x14ac:dyDescent="0.3">
      <c r="A132" t="s">
        <v>156</v>
      </c>
      <c r="B132">
        <v>17</v>
      </c>
      <c r="C132" t="s">
        <v>16</v>
      </c>
      <c r="D132">
        <v>79</v>
      </c>
      <c r="E132">
        <v>3.2</v>
      </c>
    </row>
    <row r="133" spans="1:5" x14ac:dyDescent="0.3">
      <c r="A133" t="s">
        <v>157</v>
      </c>
      <c r="B133">
        <v>30</v>
      </c>
      <c r="C133" t="s">
        <v>16</v>
      </c>
      <c r="D133">
        <v>60</v>
      </c>
      <c r="E133">
        <v>10.8</v>
      </c>
    </row>
    <row r="134" spans="1:5" hidden="1" x14ac:dyDescent="0.3">
      <c r="A134" t="s">
        <v>158</v>
      </c>
      <c r="B134">
        <v>21</v>
      </c>
      <c r="C134" t="s">
        <v>24</v>
      </c>
      <c r="D134">
        <v>56.1</v>
      </c>
      <c r="E134">
        <v>0</v>
      </c>
    </row>
    <row r="135" spans="1:5" x14ac:dyDescent="0.3">
      <c r="A135" t="s">
        <v>159</v>
      </c>
      <c r="B135">
        <v>33</v>
      </c>
      <c r="C135" t="s">
        <v>24</v>
      </c>
      <c r="D135">
        <v>39.4</v>
      </c>
      <c r="E135">
        <v>11.1</v>
      </c>
    </row>
    <row r="136" spans="1:5" x14ac:dyDescent="0.3">
      <c r="A136" t="s">
        <v>160</v>
      </c>
      <c r="B136">
        <v>22</v>
      </c>
      <c r="C136" t="s">
        <v>16</v>
      </c>
      <c r="D136">
        <v>64.099999999999994</v>
      </c>
      <c r="E136">
        <v>15.9</v>
      </c>
    </row>
    <row r="137" spans="1:5" x14ac:dyDescent="0.3">
      <c r="A137" t="s">
        <v>161</v>
      </c>
      <c r="B137">
        <v>42</v>
      </c>
      <c r="C137" t="s">
        <v>28</v>
      </c>
      <c r="D137">
        <v>68.8</v>
      </c>
      <c r="E137">
        <v>9.6999999999999993</v>
      </c>
    </row>
    <row r="138" spans="1:5" x14ac:dyDescent="0.3">
      <c r="A138" t="s">
        <v>162</v>
      </c>
      <c r="B138">
        <v>23</v>
      </c>
      <c r="C138" t="s">
        <v>24</v>
      </c>
      <c r="D138">
        <v>50.5</v>
      </c>
      <c r="E138">
        <v>5.8</v>
      </c>
    </row>
    <row r="139" spans="1:5" x14ac:dyDescent="0.3">
      <c r="A139" t="s">
        <v>163</v>
      </c>
      <c r="B139">
        <v>27</v>
      </c>
      <c r="C139" t="s">
        <v>16</v>
      </c>
      <c r="D139">
        <v>34.4</v>
      </c>
      <c r="E139">
        <v>18.399999999999999</v>
      </c>
    </row>
    <row r="140" spans="1:5" x14ac:dyDescent="0.3">
      <c r="A140" t="s">
        <v>164</v>
      </c>
      <c r="B140">
        <v>36</v>
      </c>
      <c r="C140" t="s">
        <v>16</v>
      </c>
      <c r="D140">
        <v>79.099999999999994</v>
      </c>
      <c r="E140">
        <v>19.100000000000001</v>
      </c>
    </row>
    <row r="141" spans="1:5" x14ac:dyDescent="0.3">
      <c r="A141" t="s">
        <v>165</v>
      </c>
      <c r="B141">
        <v>20</v>
      </c>
      <c r="C141" t="s">
        <v>16</v>
      </c>
      <c r="D141">
        <v>56.2</v>
      </c>
      <c r="E141">
        <v>7.5</v>
      </c>
    </row>
    <row r="142" spans="1:5" x14ac:dyDescent="0.3">
      <c r="A142" t="s">
        <v>166</v>
      </c>
      <c r="B142">
        <v>31</v>
      </c>
      <c r="C142" t="s">
        <v>16</v>
      </c>
      <c r="D142">
        <v>41.2</v>
      </c>
      <c r="E142">
        <v>10.4</v>
      </c>
    </row>
    <row r="143" spans="1:5" x14ac:dyDescent="0.3">
      <c r="A143" t="s">
        <v>167</v>
      </c>
      <c r="B143">
        <v>40</v>
      </c>
      <c r="C143" t="s">
        <v>16</v>
      </c>
      <c r="D143">
        <v>73.599999999999994</v>
      </c>
      <c r="E143">
        <v>7.4</v>
      </c>
    </row>
    <row r="144" spans="1:5" x14ac:dyDescent="0.3">
      <c r="A144" t="s">
        <v>168</v>
      </c>
      <c r="B144">
        <v>17</v>
      </c>
      <c r="C144" t="s">
        <v>16</v>
      </c>
      <c r="D144">
        <v>79.599999999999994</v>
      </c>
      <c r="E144">
        <v>10</v>
      </c>
    </row>
    <row r="145" spans="1:5" x14ac:dyDescent="0.3">
      <c r="A145" t="s">
        <v>169</v>
      </c>
      <c r="B145">
        <v>31</v>
      </c>
      <c r="C145" t="s">
        <v>16</v>
      </c>
      <c r="D145">
        <v>67.099999999999994</v>
      </c>
      <c r="E145">
        <v>10.8</v>
      </c>
    </row>
    <row r="146" spans="1:5" x14ac:dyDescent="0.3">
      <c r="A146" t="s">
        <v>170</v>
      </c>
      <c r="B146">
        <v>32</v>
      </c>
      <c r="C146" t="s">
        <v>16</v>
      </c>
      <c r="D146">
        <v>54.4</v>
      </c>
      <c r="E146">
        <v>10</v>
      </c>
    </row>
    <row r="147" spans="1:5" x14ac:dyDescent="0.3">
      <c r="A147" t="s">
        <v>171</v>
      </c>
      <c r="B147">
        <v>36</v>
      </c>
      <c r="C147" t="s">
        <v>24</v>
      </c>
      <c r="D147">
        <v>36.4</v>
      </c>
      <c r="E147">
        <v>11.2</v>
      </c>
    </row>
    <row r="148" spans="1:5" hidden="1" x14ac:dyDescent="0.3">
      <c r="A148" t="s">
        <v>172</v>
      </c>
      <c r="B148">
        <v>20</v>
      </c>
      <c r="C148" t="s">
        <v>16</v>
      </c>
      <c r="D148">
        <v>100</v>
      </c>
      <c r="E148">
        <v>17.899999999999999</v>
      </c>
    </row>
    <row r="149" spans="1:5" hidden="1" x14ac:dyDescent="0.3">
      <c r="A149" t="s">
        <v>173</v>
      </c>
      <c r="B149">
        <v>19</v>
      </c>
      <c r="C149" t="s">
        <v>24</v>
      </c>
      <c r="D149">
        <v>44.2</v>
      </c>
      <c r="E149">
        <v>0</v>
      </c>
    </row>
    <row r="150" spans="1:5" x14ac:dyDescent="0.3">
      <c r="A150" t="s">
        <v>174</v>
      </c>
      <c r="B150">
        <v>34</v>
      </c>
      <c r="C150" t="s">
        <v>16</v>
      </c>
      <c r="D150">
        <v>64.8</v>
      </c>
      <c r="E150">
        <v>8</v>
      </c>
    </row>
    <row r="151" spans="1:5" x14ac:dyDescent="0.3">
      <c r="A151" t="s">
        <v>175</v>
      </c>
      <c r="B151">
        <v>32</v>
      </c>
      <c r="C151" t="s">
        <v>28</v>
      </c>
      <c r="D151">
        <v>45.4</v>
      </c>
      <c r="E151">
        <v>0.7</v>
      </c>
    </row>
    <row r="152" spans="1:5" x14ac:dyDescent="0.3">
      <c r="A152" t="s">
        <v>176</v>
      </c>
      <c r="B152">
        <v>32</v>
      </c>
      <c r="C152" t="s">
        <v>16</v>
      </c>
      <c r="D152">
        <v>37.9</v>
      </c>
      <c r="E152">
        <v>15.5</v>
      </c>
    </row>
    <row r="153" spans="1:5" x14ac:dyDescent="0.3">
      <c r="A153" t="s">
        <v>177</v>
      </c>
      <c r="B153">
        <v>32</v>
      </c>
      <c r="C153" t="s">
        <v>16</v>
      </c>
      <c r="D153">
        <v>51</v>
      </c>
      <c r="E153">
        <v>6.7</v>
      </c>
    </row>
    <row r="154" spans="1:5" x14ac:dyDescent="0.3">
      <c r="A154" t="s">
        <v>178</v>
      </c>
      <c r="B154">
        <v>24</v>
      </c>
      <c r="C154" t="s">
        <v>24</v>
      </c>
      <c r="D154">
        <v>50.4</v>
      </c>
      <c r="E154">
        <v>2.2999999999999998</v>
      </c>
    </row>
    <row r="155" spans="1:5" x14ac:dyDescent="0.3">
      <c r="A155" t="s">
        <v>179</v>
      </c>
      <c r="B155">
        <v>31</v>
      </c>
      <c r="C155" t="s">
        <v>24</v>
      </c>
      <c r="D155">
        <v>48.5</v>
      </c>
      <c r="E155">
        <v>14.3</v>
      </c>
    </row>
    <row r="156" spans="1:5" x14ac:dyDescent="0.3">
      <c r="A156" t="s">
        <v>180</v>
      </c>
      <c r="B156">
        <v>32</v>
      </c>
      <c r="C156" t="s">
        <v>24</v>
      </c>
      <c r="D156">
        <v>77.900000000000006</v>
      </c>
      <c r="E156">
        <v>15.1</v>
      </c>
    </row>
    <row r="157" spans="1:5" x14ac:dyDescent="0.3">
      <c r="A157" t="s">
        <v>181</v>
      </c>
      <c r="B157">
        <v>24</v>
      </c>
      <c r="C157" t="s">
        <v>16</v>
      </c>
      <c r="D157">
        <v>33.1</v>
      </c>
      <c r="E157">
        <v>7.3</v>
      </c>
    </row>
    <row r="158" spans="1:5" x14ac:dyDescent="0.3">
      <c r="A158" t="s">
        <v>182</v>
      </c>
      <c r="B158">
        <v>44</v>
      </c>
      <c r="C158" t="s">
        <v>16</v>
      </c>
      <c r="D158">
        <v>44.6</v>
      </c>
      <c r="E158">
        <v>9.9</v>
      </c>
    </row>
    <row r="159" spans="1:5" x14ac:dyDescent="0.3">
      <c r="A159" t="s">
        <v>183</v>
      </c>
      <c r="B159">
        <v>33</v>
      </c>
      <c r="C159" t="s">
        <v>24</v>
      </c>
      <c r="D159">
        <v>37.700000000000003</v>
      </c>
      <c r="E159">
        <v>9.1999999999999993</v>
      </c>
    </row>
    <row r="160" spans="1:5" x14ac:dyDescent="0.3">
      <c r="A160" t="s">
        <v>184</v>
      </c>
      <c r="B160">
        <v>20</v>
      </c>
      <c r="C160" t="s">
        <v>24</v>
      </c>
      <c r="D160">
        <v>58.2</v>
      </c>
      <c r="E160">
        <v>17.8</v>
      </c>
    </row>
    <row r="161" spans="1:5" x14ac:dyDescent="0.3">
      <c r="A161" t="s">
        <v>185</v>
      </c>
      <c r="B161">
        <v>35</v>
      </c>
      <c r="C161" t="s">
        <v>24</v>
      </c>
      <c r="D161">
        <v>55.6</v>
      </c>
      <c r="E161">
        <v>4.0999999999999996</v>
      </c>
    </row>
    <row r="162" spans="1:5" x14ac:dyDescent="0.3">
      <c r="A162" t="s">
        <v>186</v>
      </c>
      <c r="B162">
        <v>22</v>
      </c>
      <c r="C162" t="s">
        <v>24</v>
      </c>
      <c r="D162">
        <v>45.5</v>
      </c>
      <c r="E162">
        <v>10.5</v>
      </c>
    </row>
    <row r="163" spans="1:5" x14ac:dyDescent="0.3">
      <c r="A163" t="s">
        <v>187</v>
      </c>
      <c r="B163">
        <v>36</v>
      </c>
      <c r="C163" t="s">
        <v>16</v>
      </c>
      <c r="D163">
        <v>52.8</v>
      </c>
      <c r="E163">
        <v>6.1</v>
      </c>
    </row>
    <row r="164" spans="1:5" x14ac:dyDescent="0.3">
      <c r="A164" t="s">
        <v>188</v>
      </c>
      <c r="B164">
        <v>39</v>
      </c>
      <c r="C164" t="s">
        <v>24</v>
      </c>
      <c r="D164">
        <v>43.7</v>
      </c>
      <c r="E164">
        <v>2.4</v>
      </c>
    </row>
    <row r="165" spans="1:5" x14ac:dyDescent="0.3">
      <c r="A165" t="s">
        <v>189</v>
      </c>
      <c r="B165">
        <v>23</v>
      </c>
      <c r="C165" t="s">
        <v>16</v>
      </c>
      <c r="D165">
        <v>43.2</v>
      </c>
      <c r="E165">
        <v>4.0999999999999996</v>
      </c>
    </row>
    <row r="166" spans="1:5" x14ac:dyDescent="0.3">
      <c r="A166" t="s">
        <v>190</v>
      </c>
      <c r="B166">
        <v>37</v>
      </c>
      <c r="C166" t="s">
        <v>16</v>
      </c>
      <c r="D166">
        <v>70.099999999999994</v>
      </c>
      <c r="E166">
        <v>13.7</v>
      </c>
    </row>
    <row r="167" spans="1:5" x14ac:dyDescent="0.3">
      <c r="A167" t="s">
        <v>191</v>
      </c>
      <c r="B167">
        <v>33</v>
      </c>
      <c r="C167" t="s">
        <v>16</v>
      </c>
      <c r="D167">
        <v>42.6</v>
      </c>
      <c r="E167">
        <v>11.8</v>
      </c>
    </row>
    <row r="168" spans="1:5" x14ac:dyDescent="0.3">
      <c r="A168" t="s">
        <v>192</v>
      </c>
      <c r="B168">
        <v>36</v>
      </c>
      <c r="C168" t="s">
        <v>16</v>
      </c>
      <c r="D168">
        <v>73.2</v>
      </c>
      <c r="E168">
        <v>15.4</v>
      </c>
    </row>
    <row r="169" spans="1:5" x14ac:dyDescent="0.3">
      <c r="A169" t="s">
        <v>193</v>
      </c>
      <c r="B169">
        <v>45</v>
      </c>
      <c r="C169" t="s">
        <v>16</v>
      </c>
      <c r="D169">
        <v>49.6</v>
      </c>
      <c r="E169">
        <v>10.1</v>
      </c>
    </row>
    <row r="170" spans="1:5" x14ac:dyDescent="0.3">
      <c r="A170" t="s">
        <v>194</v>
      </c>
      <c r="B170">
        <v>28</v>
      </c>
      <c r="C170" t="s">
        <v>16</v>
      </c>
      <c r="D170">
        <v>50.3</v>
      </c>
      <c r="E170">
        <v>9.4</v>
      </c>
    </row>
    <row r="171" spans="1:5" x14ac:dyDescent="0.3">
      <c r="A171" t="s">
        <v>195</v>
      </c>
      <c r="B171">
        <v>23</v>
      </c>
      <c r="C171" t="s">
        <v>24</v>
      </c>
      <c r="D171">
        <v>44.2</v>
      </c>
      <c r="E171">
        <v>5.5</v>
      </c>
    </row>
    <row r="172" spans="1:5" x14ac:dyDescent="0.3">
      <c r="A172" t="s">
        <v>196</v>
      </c>
      <c r="B172">
        <v>22</v>
      </c>
      <c r="C172" t="s">
        <v>16</v>
      </c>
      <c r="D172">
        <v>61.2</v>
      </c>
      <c r="E172">
        <v>2.6</v>
      </c>
    </row>
    <row r="173" spans="1:5" x14ac:dyDescent="0.3">
      <c r="A173" t="s">
        <v>197</v>
      </c>
      <c r="B173">
        <v>23</v>
      </c>
      <c r="C173" t="s">
        <v>24</v>
      </c>
      <c r="D173">
        <v>57.9</v>
      </c>
      <c r="E173">
        <v>5.2</v>
      </c>
    </row>
    <row r="174" spans="1:5" x14ac:dyDescent="0.3">
      <c r="A174" t="s">
        <v>198</v>
      </c>
      <c r="B174">
        <v>29</v>
      </c>
      <c r="C174" t="s">
        <v>16</v>
      </c>
      <c r="D174">
        <v>35.5</v>
      </c>
      <c r="E174">
        <v>10</v>
      </c>
    </row>
    <row r="175" spans="1:5" x14ac:dyDescent="0.3">
      <c r="A175" t="s">
        <v>199</v>
      </c>
      <c r="B175">
        <v>32</v>
      </c>
      <c r="C175" t="s">
        <v>16</v>
      </c>
      <c r="D175">
        <v>57.4</v>
      </c>
      <c r="E175">
        <v>9.6</v>
      </c>
    </row>
    <row r="176" spans="1:5" x14ac:dyDescent="0.3">
      <c r="A176" t="s">
        <v>200</v>
      </c>
      <c r="B176">
        <v>32</v>
      </c>
      <c r="C176" t="s">
        <v>24</v>
      </c>
      <c r="D176">
        <v>39.299999999999997</v>
      </c>
      <c r="E176">
        <v>7.2</v>
      </c>
    </row>
    <row r="177" spans="1:5" x14ac:dyDescent="0.3">
      <c r="A177" t="s">
        <v>201</v>
      </c>
      <c r="B177">
        <v>36</v>
      </c>
      <c r="C177" t="s">
        <v>16</v>
      </c>
      <c r="D177">
        <v>79.099999999999994</v>
      </c>
      <c r="E177">
        <v>7.8</v>
      </c>
    </row>
    <row r="178" spans="1:5" x14ac:dyDescent="0.3">
      <c r="A178" t="s">
        <v>202</v>
      </c>
      <c r="B178">
        <v>30</v>
      </c>
      <c r="C178" t="s">
        <v>16</v>
      </c>
      <c r="D178">
        <v>36.799999999999997</v>
      </c>
      <c r="E178">
        <v>23.9</v>
      </c>
    </row>
    <row r="179" spans="1:5" x14ac:dyDescent="0.3">
      <c r="A179" t="s">
        <v>203</v>
      </c>
      <c r="B179">
        <v>41</v>
      </c>
      <c r="C179" t="s">
        <v>16</v>
      </c>
      <c r="D179">
        <v>52.8</v>
      </c>
      <c r="E179">
        <v>10.7</v>
      </c>
    </row>
    <row r="180" spans="1:5" x14ac:dyDescent="0.3">
      <c r="A180" t="s">
        <v>204</v>
      </c>
      <c r="B180">
        <v>27</v>
      </c>
      <c r="C180" t="s">
        <v>16</v>
      </c>
      <c r="D180">
        <v>62.4</v>
      </c>
      <c r="E180">
        <v>11.1</v>
      </c>
    </row>
    <row r="181" spans="1:5" x14ac:dyDescent="0.3">
      <c r="A181" t="s">
        <v>205</v>
      </c>
      <c r="B181">
        <v>51</v>
      </c>
      <c r="C181" t="s">
        <v>28</v>
      </c>
      <c r="D181">
        <v>24.6</v>
      </c>
      <c r="E181">
        <v>5.5</v>
      </c>
    </row>
    <row r="182" spans="1:5" x14ac:dyDescent="0.3">
      <c r="A182" t="s">
        <v>206</v>
      </c>
      <c r="B182">
        <v>35</v>
      </c>
      <c r="C182" t="s">
        <v>16</v>
      </c>
      <c r="D182">
        <v>75.599999999999994</v>
      </c>
      <c r="E182">
        <v>9.6</v>
      </c>
    </row>
    <row r="183" spans="1:5" x14ac:dyDescent="0.3">
      <c r="A183" t="s">
        <v>207</v>
      </c>
      <c r="B183">
        <v>23</v>
      </c>
      <c r="C183" t="s">
        <v>24</v>
      </c>
      <c r="D183">
        <v>51.3</v>
      </c>
      <c r="E183">
        <v>10.6</v>
      </c>
    </row>
    <row r="184" spans="1:5" x14ac:dyDescent="0.3">
      <c r="A184" t="s">
        <v>208</v>
      </c>
      <c r="B184">
        <v>21</v>
      </c>
      <c r="C184" t="s">
        <v>16</v>
      </c>
      <c r="D184">
        <v>53.9</v>
      </c>
      <c r="E184">
        <v>10.199999999999999</v>
      </c>
    </row>
    <row r="185" spans="1:5" hidden="1" x14ac:dyDescent="0.3">
      <c r="A185" t="s">
        <v>209</v>
      </c>
      <c r="B185">
        <v>33</v>
      </c>
      <c r="C185" t="s">
        <v>24</v>
      </c>
      <c r="D185">
        <v>79</v>
      </c>
      <c r="E185">
        <v>0</v>
      </c>
    </row>
    <row r="186" spans="1:5" hidden="1" x14ac:dyDescent="0.3">
      <c r="A186" t="s">
        <v>210</v>
      </c>
      <c r="B186">
        <v>28</v>
      </c>
      <c r="C186" t="s">
        <v>24</v>
      </c>
      <c r="D186">
        <v>59.1</v>
      </c>
      <c r="E186">
        <v>0</v>
      </c>
    </row>
    <row r="187" spans="1:5" x14ac:dyDescent="0.3">
      <c r="A187" t="s">
        <v>211</v>
      </c>
      <c r="B187">
        <v>35</v>
      </c>
      <c r="C187" t="s">
        <v>24</v>
      </c>
      <c r="D187">
        <v>43.7</v>
      </c>
      <c r="E187">
        <v>1.8</v>
      </c>
    </row>
    <row r="188" spans="1:5" x14ac:dyDescent="0.3">
      <c r="A188" t="s">
        <v>212</v>
      </c>
      <c r="B188">
        <v>33</v>
      </c>
      <c r="C188" t="s">
        <v>16</v>
      </c>
      <c r="D188">
        <v>28.1</v>
      </c>
      <c r="E188">
        <v>7.4</v>
      </c>
    </row>
    <row r="189" spans="1:5" x14ac:dyDescent="0.3">
      <c r="A189" t="s">
        <v>213</v>
      </c>
      <c r="B189">
        <v>29</v>
      </c>
      <c r="C189" t="s">
        <v>16</v>
      </c>
      <c r="D189">
        <v>66.8</v>
      </c>
      <c r="E189">
        <v>7.8</v>
      </c>
    </row>
    <row r="190" spans="1:5" x14ac:dyDescent="0.3">
      <c r="A190" t="s">
        <v>214</v>
      </c>
      <c r="B190">
        <v>23</v>
      </c>
      <c r="C190" t="s">
        <v>16</v>
      </c>
      <c r="D190">
        <v>48.6</v>
      </c>
      <c r="E190">
        <v>12.5</v>
      </c>
    </row>
    <row r="191" spans="1:5" hidden="1" x14ac:dyDescent="0.3">
      <c r="A191" t="s">
        <v>215</v>
      </c>
      <c r="B191">
        <v>17</v>
      </c>
      <c r="C191" t="s">
        <v>24</v>
      </c>
      <c r="D191">
        <v>36</v>
      </c>
      <c r="E191">
        <v>0</v>
      </c>
    </row>
    <row r="192" spans="1:5" x14ac:dyDescent="0.3">
      <c r="A192" t="s">
        <v>216</v>
      </c>
      <c r="B192">
        <v>26</v>
      </c>
      <c r="C192" t="s">
        <v>24</v>
      </c>
      <c r="D192">
        <v>30.9</v>
      </c>
      <c r="E192">
        <v>3.4</v>
      </c>
    </row>
    <row r="193" spans="1:5" x14ac:dyDescent="0.3">
      <c r="A193" t="s">
        <v>217</v>
      </c>
      <c r="B193">
        <v>36</v>
      </c>
      <c r="C193" t="s">
        <v>24</v>
      </c>
      <c r="D193">
        <v>69.599999999999994</v>
      </c>
      <c r="E193">
        <v>15.6</v>
      </c>
    </row>
    <row r="194" spans="1:5" x14ac:dyDescent="0.3">
      <c r="A194" t="s">
        <v>218</v>
      </c>
      <c r="B194">
        <v>31</v>
      </c>
      <c r="C194" t="s">
        <v>16</v>
      </c>
      <c r="D194">
        <v>41.9</v>
      </c>
      <c r="E194">
        <v>9.4</v>
      </c>
    </row>
    <row r="195" spans="1:5" x14ac:dyDescent="0.3">
      <c r="A195" t="s">
        <v>219</v>
      </c>
      <c r="B195">
        <v>20</v>
      </c>
      <c r="C195" t="s">
        <v>24</v>
      </c>
      <c r="D195">
        <v>45.1</v>
      </c>
      <c r="E195">
        <v>10.7</v>
      </c>
    </row>
    <row r="196" spans="1:5" x14ac:dyDescent="0.3">
      <c r="A196" t="s">
        <v>220</v>
      </c>
      <c r="B196">
        <v>31</v>
      </c>
      <c r="C196" t="s">
        <v>24</v>
      </c>
      <c r="D196">
        <v>50.2</v>
      </c>
      <c r="E196">
        <v>16.3</v>
      </c>
    </row>
    <row r="197" spans="1:5" x14ac:dyDescent="0.3">
      <c r="A197" t="s">
        <v>221</v>
      </c>
      <c r="B197">
        <v>33</v>
      </c>
      <c r="C197" t="s">
        <v>16</v>
      </c>
      <c r="D197">
        <v>54</v>
      </c>
      <c r="E197">
        <v>2</v>
      </c>
    </row>
    <row r="198" spans="1:5" x14ac:dyDescent="0.3">
      <c r="A198" t="s">
        <v>222</v>
      </c>
      <c r="B198">
        <v>22</v>
      </c>
      <c r="C198" t="s">
        <v>16</v>
      </c>
      <c r="D198">
        <v>48.3</v>
      </c>
      <c r="E198">
        <v>5.8</v>
      </c>
    </row>
    <row r="199" spans="1:5" x14ac:dyDescent="0.3">
      <c r="A199" t="s">
        <v>223</v>
      </c>
      <c r="B199">
        <v>31</v>
      </c>
      <c r="C199" t="s">
        <v>24</v>
      </c>
      <c r="D199">
        <v>62.7</v>
      </c>
      <c r="E199">
        <v>5.6</v>
      </c>
    </row>
    <row r="200" spans="1:5" hidden="1" x14ac:dyDescent="0.3">
      <c r="A200" t="s">
        <v>224</v>
      </c>
      <c r="B200">
        <v>30</v>
      </c>
      <c r="C200" t="s">
        <v>24</v>
      </c>
      <c r="D200">
        <v>46.4</v>
      </c>
      <c r="E200">
        <v>0</v>
      </c>
    </row>
    <row r="201" spans="1:5" x14ac:dyDescent="0.3">
      <c r="A201" t="s">
        <v>225</v>
      </c>
      <c r="B201">
        <v>20</v>
      </c>
      <c r="C201" t="s">
        <v>24</v>
      </c>
      <c r="D201">
        <v>44.7</v>
      </c>
      <c r="E201">
        <v>6.9</v>
      </c>
    </row>
    <row r="202" spans="1:5" x14ac:dyDescent="0.3">
      <c r="A202" t="s">
        <v>226</v>
      </c>
      <c r="B202">
        <v>32</v>
      </c>
      <c r="C202" t="s">
        <v>16</v>
      </c>
      <c r="D202">
        <v>31.8</v>
      </c>
      <c r="E202">
        <v>12.2</v>
      </c>
    </row>
    <row r="203" spans="1:5" x14ac:dyDescent="0.3">
      <c r="A203" t="s">
        <v>227</v>
      </c>
      <c r="B203">
        <v>34</v>
      </c>
      <c r="C203" t="s">
        <v>24</v>
      </c>
      <c r="D203">
        <v>66.7</v>
      </c>
      <c r="E203">
        <v>11.9</v>
      </c>
    </row>
    <row r="204" spans="1:5" x14ac:dyDescent="0.3">
      <c r="A204" t="s">
        <v>228</v>
      </c>
      <c r="B204">
        <v>38</v>
      </c>
      <c r="C204" t="s">
        <v>16</v>
      </c>
      <c r="D204">
        <v>57</v>
      </c>
      <c r="E204">
        <v>12.8</v>
      </c>
    </row>
    <row r="205" spans="1:5" x14ac:dyDescent="0.3">
      <c r="A205" t="s">
        <v>229</v>
      </c>
      <c r="B205">
        <v>38</v>
      </c>
      <c r="C205" t="s">
        <v>16</v>
      </c>
      <c r="D205">
        <v>52.5</v>
      </c>
      <c r="E205">
        <v>7.4</v>
      </c>
    </row>
    <row r="206" spans="1:5" x14ac:dyDescent="0.3">
      <c r="A206" t="s">
        <v>230</v>
      </c>
      <c r="B206">
        <v>18</v>
      </c>
      <c r="C206" t="s">
        <v>16</v>
      </c>
      <c r="D206">
        <v>50.1</v>
      </c>
      <c r="E206">
        <v>3.1</v>
      </c>
    </row>
    <row r="207" spans="1:5" x14ac:dyDescent="0.3">
      <c r="A207" t="s">
        <v>231</v>
      </c>
      <c r="B207">
        <v>22</v>
      </c>
      <c r="C207" t="s">
        <v>24</v>
      </c>
      <c r="D207">
        <v>59.9</v>
      </c>
      <c r="E207">
        <v>13.1</v>
      </c>
    </row>
    <row r="208" spans="1:5" x14ac:dyDescent="0.3">
      <c r="A208" t="s">
        <v>232</v>
      </c>
      <c r="B208">
        <v>34</v>
      </c>
      <c r="C208" t="s">
        <v>24</v>
      </c>
      <c r="D208">
        <v>47.6</v>
      </c>
      <c r="E208">
        <v>6.4</v>
      </c>
    </row>
    <row r="209" spans="1:5" x14ac:dyDescent="0.3">
      <c r="A209" t="s">
        <v>233</v>
      </c>
      <c r="B209">
        <v>34</v>
      </c>
      <c r="C209" t="s">
        <v>24</v>
      </c>
      <c r="D209">
        <v>54.6</v>
      </c>
      <c r="E209">
        <v>9.5</v>
      </c>
    </row>
    <row r="210" spans="1:5" x14ac:dyDescent="0.3">
      <c r="A210" t="s">
        <v>234</v>
      </c>
      <c r="B210">
        <v>34</v>
      </c>
      <c r="C210" t="s">
        <v>16</v>
      </c>
      <c r="D210">
        <v>43.4</v>
      </c>
      <c r="E210">
        <v>10.4</v>
      </c>
    </row>
    <row r="211" spans="1:5" x14ac:dyDescent="0.3">
      <c r="A211" t="s">
        <v>235</v>
      </c>
      <c r="B211">
        <v>60</v>
      </c>
      <c r="C211" t="s">
        <v>24</v>
      </c>
      <c r="D211">
        <v>36.9</v>
      </c>
      <c r="E211">
        <v>15.9</v>
      </c>
    </row>
    <row r="212" spans="1:5" x14ac:dyDescent="0.3">
      <c r="A212" t="s">
        <v>236</v>
      </c>
      <c r="B212">
        <v>34</v>
      </c>
      <c r="C212" t="s">
        <v>16</v>
      </c>
      <c r="D212">
        <v>39.1</v>
      </c>
      <c r="E212">
        <v>10.199999999999999</v>
      </c>
    </row>
    <row r="213" spans="1:5" x14ac:dyDescent="0.3">
      <c r="A213" t="s">
        <v>237</v>
      </c>
      <c r="B213">
        <v>39</v>
      </c>
      <c r="C213" t="s">
        <v>24</v>
      </c>
      <c r="D213">
        <v>54.3</v>
      </c>
      <c r="E213">
        <v>0.1</v>
      </c>
    </row>
    <row r="214" spans="1:5" x14ac:dyDescent="0.3">
      <c r="A214" t="s">
        <v>238</v>
      </c>
      <c r="B214">
        <v>37</v>
      </c>
      <c r="C214" t="s">
        <v>16</v>
      </c>
      <c r="D214">
        <v>65.400000000000006</v>
      </c>
      <c r="E214">
        <v>4.5</v>
      </c>
    </row>
    <row r="215" spans="1:5" x14ac:dyDescent="0.3">
      <c r="A215" t="s">
        <v>239</v>
      </c>
      <c r="B215">
        <v>35</v>
      </c>
      <c r="C215" t="s">
        <v>16</v>
      </c>
      <c r="D215">
        <v>54.6</v>
      </c>
      <c r="E215">
        <v>13.3</v>
      </c>
    </row>
    <row r="216" spans="1:5" x14ac:dyDescent="0.3">
      <c r="A216" t="s">
        <v>240</v>
      </c>
      <c r="B216">
        <v>27</v>
      </c>
      <c r="C216" t="s">
        <v>16</v>
      </c>
      <c r="D216">
        <v>40.6</v>
      </c>
      <c r="E216">
        <v>9</v>
      </c>
    </row>
    <row r="217" spans="1:5" x14ac:dyDescent="0.3">
      <c r="A217" t="s">
        <v>241</v>
      </c>
      <c r="B217">
        <v>36</v>
      </c>
      <c r="C217" t="s">
        <v>16</v>
      </c>
      <c r="D217">
        <v>45.4</v>
      </c>
      <c r="E217">
        <v>4.3</v>
      </c>
    </row>
    <row r="218" spans="1:5" hidden="1" x14ac:dyDescent="0.3">
      <c r="A218" t="s">
        <v>242</v>
      </c>
      <c r="B218">
        <v>23</v>
      </c>
      <c r="C218" t="s">
        <v>24</v>
      </c>
      <c r="D218">
        <v>100</v>
      </c>
      <c r="E218">
        <v>12.4</v>
      </c>
    </row>
    <row r="219" spans="1:5" x14ac:dyDescent="0.3">
      <c r="A219" t="s">
        <v>243</v>
      </c>
      <c r="B219">
        <v>28</v>
      </c>
      <c r="C219" t="s">
        <v>16</v>
      </c>
      <c r="D219">
        <v>32.6</v>
      </c>
      <c r="E219">
        <v>4</v>
      </c>
    </row>
    <row r="220" spans="1:5" x14ac:dyDescent="0.3">
      <c r="A220" t="s">
        <v>244</v>
      </c>
      <c r="B220">
        <v>26</v>
      </c>
      <c r="C220" t="s">
        <v>16</v>
      </c>
      <c r="D220">
        <v>38.1</v>
      </c>
      <c r="E220">
        <v>7.4</v>
      </c>
    </row>
    <row r="221" spans="1:5" x14ac:dyDescent="0.3">
      <c r="A221" t="s">
        <v>245</v>
      </c>
      <c r="B221">
        <v>30</v>
      </c>
      <c r="C221" t="s">
        <v>24</v>
      </c>
      <c r="D221">
        <v>57.5</v>
      </c>
      <c r="E221">
        <v>12.1</v>
      </c>
    </row>
    <row r="222" spans="1:5" x14ac:dyDescent="0.3">
      <c r="A222" t="s">
        <v>246</v>
      </c>
      <c r="B222">
        <v>48</v>
      </c>
      <c r="C222" t="s">
        <v>16</v>
      </c>
      <c r="D222">
        <v>70.8</v>
      </c>
      <c r="E222">
        <v>4.0999999999999996</v>
      </c>
    </row>
    <row r="223" spans="1:5" x14ac:dyDescent="0.3">
      <c r="A223" t="s">
        <v>247</v>
      </c>
      <c r="B223">
        <v>16</v>
      </c>
      <c r="C223" t="s">
        <v>24</v>
      </c>
      <c r="D223">
        <v>46.8</v>
      </c>
      <c r="E223">
        <v>15.1</v>
      </c>
    </row>
    <row r="224" spans="1:5" x14ac:dyDescent="0.3">
      <c r="A224" t="s">
        <v>248</v>
      </c>
      <c r="B224">
        <v>35</v>
      </c>
      <c r="C224" t="s">
        <v>24</v>
      </c>
      <c r="D224">
        <v>64.2</v>
      </c>
      <c r="E224">
        <v>6.3</v>
      </c>
    </row>
    <row r="225" spans="1:5" x14ac:dyDescent="0.3">
      <c r="A225" t="s">
        <v>249</v>
      </c>
      <c r="B225">
        <v>17</v>
      </c>
      <c r="C225" t="s">
        <v>24</v>
      </c>
      <c r="D225">
        <v>46.6</v>
      </c>
      <c r="E225">
        <v>8.4</v>
      </c>
    </row>
    <row r="226" spans="1:5" x14ac:dyDescent="0.3">
      <c r="A226" t="s">
        <v>250</v>
      </c>
      <c r="B226">
        <v>26</v>
      </c>
      <c r="C226" t="s">
        <v>16</v>
      </c>
      <c r="D226">
        <v>56.6</v>
      </c>
      <c r="E226">
        <v>17.3</v>
      </c>
    </row>
    <row r="227" spans="1:5" hidden="1" x14ac:dyDescent="0.3">
      <c r="A227" t="s">
        <v>251</v>
      </c>
      <c r="B227">
        <v>38</v>
      </c>
      <c r="C227" t="s">
        <v>24</v>
      </c>
      <c r="D227">
        <v>56.3</v>
      </c>
      <c r="E227">
        <v>0</v>
      </c>
    </row>
    <row r="228" spans="1:5" x14ac:dyDescent="0.3">
      <c r="A228" t="s">
        <v>252</v>
      </c>
      <c r="B228">
        <v>30</v>
      </c>
      <c r="C228" t="s">
        <v>24</v>
      </c>
      <c r="D228">
        <v>72.900000000000006</v>
      </c>
      <c r="E228">
        <v>9</v>
      </c>
    </row>
    <row r="229" spans="1:5" x14ac:dyDescent="0.3">
      <c r="A229" t="s">
        <v>253</v>
      </c>
      <c r="B229">
        <v>21</v>
      </c>
      <c r="C229" t="s">
        <v>16</v>
      </c>
      <c r="D229">
        <v>56.6</v>
      </c>
      <c r="E229">
        <v>12.6</v>
      </c>
    </row>
    <row r="230" spans="1:5" x14ac:dyDescent="0.3">
      <c r="A230" t="s">
        <v>254</v>
      </c>
      <c r="B230">
        <v>24</v>
      </c>
      <c r="C230" t="s">
        <v>16</v>
      </c>
      <c r="D230">
        <v>49</v>
      </c>
      <c r="E230">
        <v>11.1</v>
      </c>
    </row>
    <row r="231" spans="1:5" x14ac:dyDescent="0.3">
      <c r="A231" t="s">
        <v>255</v>
      </c>
      <c r="B231">
        <v>35</v>
      </c>
      <c r="C231" t="s">
        <v>24</v>
      </c>
      <c r="D231">
        <v>32.700000000000003</v>
      </c>
      <c r="E231">
        <v>4.7</v>
      </c>
    </row>
    <row r="232" spans="1:5" x14ac:dyDescent="0.3">
      <c r="A232" t="s">
        <v>256</v>
      </c>
      <c r="B232">
        <v>24</v>
      </c>
      <c r="C232" t="s">
        <v>24</v>
      </c>
      <c r="D232">
        <v>36.5</v>
      </c>
      <c r="E232">
        <v>3.1</v>
      </c>
    </row>
    <row r="233" spans="1:5" x14ac:dyDescent="0.3">
      <c r="A233" t="s">
        <v>257</v>
      </c>
      <c r="B233">
        <v>31</v>
      </c>
      <c r="C233" t="s">
        <v>24</v>
      </c>
      <c r="D233">
        <v>58.5</v>
      </c>
      <c r="E233">
        <v>12.2</v>
      </c>
    </row>
    <row r="234" spans="1:5" x14ac:dyDescent="0.3">
      <c r="A234" t="s">
        <v>258</v>
      </c>
      <c r="B234">
        <v>30</v>
      </c>
      <c r="C234" t="s">
        <v>24</v>
      </c>
      <c r="D234">
        <v>60.7</v>
      </c>
      <c r="E234">
        <v>14.2</v>
      </c>
    </row>
    <row r="235" spans="1:5" x14ac:dyDescent="0.3">
      <c r="A235" t="s">
        <v>259</v>
      </c>
      <c r="B235">
        <v>24</v>
      </c>
      <c r="C235" t="s">
        <v>24</v>
      </c>
      <c r="D235">
        <v>58.8</v>
      </c>
      <c r="E235">
        <v>3.1</v>
      </c>
    </row>
    <row r="236" spans="1:5" x14ac:dyDescent="0.3">
      <c r="A236" t="s">
        <v>260</v>
      </c>
      <c r="B236">
        <v>47</v>
      </c>
      <c r="C236" t="s">
        <v>16</v>
      </c>
      <c r="D236">
        <v>44.1</v>
      </c>
      <c r="E236">
        <v>0.7</v>
      </c>
    </row>
    <row r="237" spans="1:5" x14ac:dyDescent="0.3">
      <c r="A237" t="s">
        <v>261</v>
      </c>
      <c r="B237">
        <v>35</v>
      </c>
      <c r="C237" t="s">
        <v>16</v>
      </c>
      <c r="D237">
        <v>42.1</v>
      </c>
      <c r="E237">
        <v>8.1</v>
      </c>
    </row>
    <row r="238" spans="1:5" x14ac:dyDescent="0.3">
      <c r="A238" t="s">
        <v>262</v>
      </c>
      <c r="B238">
        <v>16</v>
      </c>
      <c r="C238" t="s">
        <v>16</v>
      </c>
      <c r="D238">
        <v>55.5</v>
      </c>
      <c r="E238">
        <v>7.3</v>
      </c>
    </row>
    <row r="239" spans="1:5" x14ac:dyDescent="0.3">
      <c r="A239" t="s">
        <v>263</v>
      </c>
      <c r="B239">
        <v>31</v>
      </c>
      <c r="C239" t="s">
        <v>24</v>
      </c>
      <c r="D239">
        <v>46.3</v>
      </c>
      <c r="E239">
        <v>6.3</v>
      </c>
    </row>
    <row r="240" spans="1:5" x14ac:dyDescent="0.3">
      <c r="A240" t="s">
        <v>264</v>
      </c>
      <c r="B240">
        <v>24</v>
      </c>
      <c r="C240" t="s">
        <v>16</v>
      </c>
      <c r="D240">
        <v>48.5</v>
      </c>
      <c r="E240">
        <v>10.9</v>
      </c>
    </row>
    <row r="241" spans="1:5" x14ac:dyDescent="0.3">
      <c r="A241" t="s">
        <v>265</v>
      </c>
      <c r="B241">
        <v>36</v>
      </c>
      <c r="C241" t="s">
        <v>24</v>
      </c>
      <c r="D241">
        <v>49.9</v>
      </c>
      <c r="E241">
        <v>7.3</v>
      </c>
    </row>
    <row r="242" spans="1:5" hidden="1" x14ac:dyDescent="0.3">
      <c r="A242" t="s">
        <v>266</v>
      </c>
      <c r="B242">
        <v>23</v>
      </c>
      <c r="C242" t="s">
        <v>24</v>
      </c>
      <c r="D242">
        <v>69.099999999999994</v>
      </c>
      <c r="E242">
        <v>0</v>
      </c>
    </row>
    <row r="243" spans="1:5" x14ac:dyDescent="0.3">
      <c r="A243" t="s">
        <v>267</v>
      </c>
      <c r="B243">
        <v>29</v>
      </c>
      <c r="C243" t="s">
        <v>24</v>
      </c>
      <c r="D243">
        <v>60.6</v>
      </c>
      <c r="E243">
        <v>2.4</v>
      </c>
    </row>
    <row r="244" spans="1:5" x14ac:dyDescent="0.3">
      <c r="A244" t="s">
        <v>268</v>
      </c>
      <c r="B244">
        <v>34</v>
      </c>
      <c r="C244" t="s">
        <v>16</v>
      </c>
      <c r="D244">
        <v>82.7</v>
      </c>
      <c r="E244">
        <v>10</v>
      </c>
    </row>
    <row r="245" spans="1:5" x14ac:dyDescent="0.3">
      <c r="A245" t="s">
        <v>269</v>
      </c>
      <c r="B245">
        <v>36</v>
      </c>
      <c r="C245" t="s">
        <v>24</v>
      </c>
      <c r="D245">
        <v>47.9</v>
      </c>
      <c r="E245">
        <v>6.4</v>
      </c>
    </row>
    <row r="246" spans="1:5" hidden="1" x14ac:dyDescent="0.3">
      <c r="A246" t="s">
        <v>270</v>
      </c>
      <c r="B246">
        <v>20</v>
      </c>
      <c r="C246" t="s">
        <v>16</v>
      </c>
      <c r="D246">
        <v>38.6</v>
      </c>
      <c r="E246">
        <v>0</v>
      </c>
    </row>
    <row r="247" spans="1:5" hidden="1" x14ac:dyDescent="0.3">
      <c r="A247" t="s">
        <v>271</v>
      </c>
      <c r="B247">
        <v>27</v>
      </c>
      <c r="C247" t="s">
        <v>24</v>
      </c>
      <c r="D247">
        <v>76.900000000000006</v>
      </c>
      <c r="E247">
        <v>0</v>
      </c>
    </row>
    <row r="248" spans="1:5" x14ac:dyDescent="0.3">
      <c r="A248" t="s">
        <v>272</v>
      </c>
      <c r="B248">
        <v>26</v>
      </c>
      <c r="C248" t="s">
        <v>16</v>
      </c>
      <c r="D248">
        <v>72.5</v>
      </c>
      <c r="E248">
        <v>8.3000000000000007</v>
      </c>
    </row>
    <row r="249" spans="1:5" x14ac:dyDescent="0.3">
      <c r="A249" t="s">
        <v>273</v>
      </c>
      <c r="B249">
        <v>24</v>
      </c>
      <c r="C249" t="s">
        <v>16</v>
      </c>
      <c r="D249">
        <v>43.8</v>
      </c>
      <c r="E249">
        <v>14.5</v>
      </c>
    </row>
    <row r="250" spans="1:5" x14ac:dyDescent="0.3">
      <c r="A250" t="s">
        <v>274</v>
      </c>
      <c r="B250">
        <v>44</v>
      </c>
      <c r="C250" t="s">
        <v>24</v>
      </c>
      <c r="D250">
        <v>59.5</v>
      </c>
      <c r="E250">
        <v>8.6999999999999993</v>
      </c>
    </row>
    <row r="251" spans="1:5" x14ac:dyDescent="0.3">
      <c r="A251" t="s">
        <v>275</v>
      </c>
      <c r="B251">
        <v>33</v>
      </c>
      <c r="C251" t="s">
        <v>16</v>
      </c>
      <c r="D251">
        <v>51.4</v>
      </c>
      <c r="E251">
        <v>11.1</v>
      </c>
    </row>
    <row r="252" spans="1:5" x14ac:dyDescent="0.3">
      <c r="A252" t="s">
        <v>276</v>
      </c>
      <c r="B252">
        <v>19</v>
      </c>
      <c r="C252" t="s">
        <v>16</v>
      </c>
      <c r="D252">
        <v>41</v>
      </c>
      <c r="E252">
        <v>6</v>
      </c>
    </row>
    <row r="253" spans="1:5" x14ac:dyDescent="0.3">
      <c r="A253" t="s">
        <v>277</v>
      </c>
      <c r="B253">
        <v>37</v>
      </c>
      <c r="C253" t="s">
        <v>24</v>
      </c>
      <c r="D253">
        <v>88.9</v>
      </c>
      <c r="E253">
        <v>2.5</v>
      </c>
    </row>
    <row r="254" spans="1:5" x14ac:dyDescent="0.3">
      <c r="A254" t="s">
        <v>278</v>
      </c>
      <c r="B254">
        <v>46</v>
      </c>
      <c r="C254" t="s">
        <v>24</v>
      </c>
      <c r="D254">
        <v>36.5</v>
      </c>
      <c r="E254">
        <v>7.2</v>
      </c>
    </row>
    <row r="255" spans="1:5" x14ac:dyDescent="0.3">
      <c r="A255" t="s">
        <v>279</v>
      </c>
      <c r="B255">
        <v>38</v>
      </c>
      <c r="C255" t="s">
        <v>24</v>
      </c>
      <c r="D255">
        <v>53.2</v>
      </c>
      <c r="E255">
        <v>9.9</v>
      </c>
    </row>
    <row r="256" spans="1:5" x14ac:dyDescent="0.3">
      <c r="A256" t="s">
        <v>280</v>
      </c>
      <c r="B256">
        <v>17</v>
      </c>
      <c r="C256" t="s">
        <v>24</v>
      </c>
      <c r="D256">
        <v>65.599999999999994</v>
      </c>
      <c r="E256">
        <v>8.4</v>
      </c>
    </row>
    <row r="257" spans="1:5" hidden="1" x14ac:dyDescent="0.3">
      <c r="A257" t="s">
        <v>281</v>
      </c>
      <c r="B257">
        <v>26</v>
      </c>
      <c r="C257" t="s">
        <v>24</v>
      </c>
      <c r="D257">
        <v>65.099999999999994</v>
      </c>
      <c r="E257">
        <v>0</v>
      </c>
    </row>
    <row r="258" spans="1:5" x14ac:dyDescent="0.3">
      <c r="A258" t="s">
        <v>282</v>
      </c>
      <c r="B258">
        <v>40</v>
      </c>
      <c r="C258" t="s">
        <v>16</v>
      </c>
      <c r="D258">
        <v>50.5</v>
      </c>
      <c r="E258">
        <v>5.0999999999999996</v>
      </c>
    </row>
    <row r="259" spans="1:5" hidden="1" x14ac:dyDescent="0.3">
      <c r="A259" t="s">
        <v>283</v>
      </c>
      <c r="B259">
        <v>24</v>
      </c>
      <c r="C259" t="s">
        <v>16</v>
      </c>
      <c r="D259">
        <v>100</v>
      </c>
      <c r="E259">
        <v>6.4</v>
      </c>
    </row>
    <row r="260" spans="1:5" x14ac:dyDescent="0.3">
      <c r="A260" t="s">
        <v>284</v>
      </c>
      <c r="B260">
        <v>33</v>
      </c>
      <c r="C260" t="s">
        <v>16</v>
      </c>
      <c r="D260">
        <v>48.8</v>
      </c>
      <c r="E260">
        <v>10.6</v>
      </c>
    </row>
    <row r="261" spans="1:5" x14ac:dyDescent="0.3">
      <c r="A261" t="s">
        <v>285</v>
      </c>
      <c r="B261">
        <v>36</v>
      </c>
      <c r="C261" t="s">
        <v>24</v>
      </c>
      <c r="D261">
        <v>65.7</v>
      </c>
      <c r="E261">
        <v>13.3</v>
      </c>
    </row>
    <row r="262" spans="1:5" x14ac:dyDescent="0.3">
      <c r="A262" t="s">
        <v>286</v>
      </c>
      <c r="B262">
        <v>22</v>
      </c>
      <c r="C262" t="s">
        <v>24</v>
      </c>
      <c r="D262">
        <v>60.9</v>
      </c>
      <c r="E262">
        <v>5.9</v>
      </c>
    </row>
    <row r="263" spans="1:5" x14ac:dyDescent="0.3">
      <c r="A263" t="s">
        <v>287</v>
      </c>
      <c r="B263">
        <v>29</v>
      </c>
      <c r="C263" t="s">
        <v>16</v>
      </c>
      <c r="D263">
        <v>48.1</v>
      </c>
      <c r="E263">
        <v>5.3</v>
      </c>
    </row>
    <row r="264" spans="1:5" x14ac:dyDescent="0.3">
      <c r="A264" t="s">
        <v>288</v>
      </c>
      <c r="B264">
        <v>16</v>
      </c>
      <c r="C264" t="s">
        <v>16</v>
      </c>
      <c r="D264">
        <v>58.3</v>
      </c>
      <c r="E264">
        <v>11</v>
      </c>
    </row>
    <row r="265" spans="1:5" x14ac:dyDescent="0.3">
      <c r="A265" t="s">
        <v>289</v>
      </c>
      <c r="B265">
        <v>21</v>
      </c>
      <c r="C265" t="s">
        <v>24</v>
      </c>
      <c r="D265">
        <v>50.4</v>
      </c>
      <c r="E265">
        <v>12.1</v>
      </c>
    </row>
    <row r="266" spans="1:5" x14ac:dyDescent="0.3">
      <c r="A266" t="s">
        <v>290</v>
      </c>
      <c r="B266">
        <v>27</v>
      </c>
      <c r="C266" t="s">
        <v>16</v>
      </c>
      <c r="D266">
        <v>43.6</v>
      </c>
      <c r="E266">
        <v>8.3000000000000007</v>
      </c>
    </row>
    <row r="267" spans="1:5" x14ac:dyDescent="0.3">
      <c r="A267" t="s">
        <v>291</v>
      </c>
      <c r="B267">
        <v>20</v>
      </c>
      <c r="C267" t="s">
        <v>24</v>
      </c>
      <c r="D267">
        <v>67.3</v>
      </c>
      <c r="E267">
        <v>10.8</v>
      </c>
    </row>
    <row r="268" spans="1:5" x14ac:dyDescent="0.3">
      <c r="A268" t="s">
        <v>292</v>
      </c>
      <c r="B268">
        <v>43</v>
      </c>
      <c r="C268" t="s">
        <v>16</v>
      </c>
      <c r="D268">
        <v>52.2</v>
      </c>
      <c r="E268">
        <v>8.6</v>
      </c>
    </row>
    <row r="269" spans="1:5" x14ac:dyDescent="0.3">
      <c r="A269" t="s">
        <v>293</v>
      </c>
      <c r="B269">
        <v>18</v>
      </c>
      <c r="C269" t="s">
        <v>24</v>
      </c>
      <c r="D269">
        <v>39.799999999999997</v>
      </c>
      <c r="E269">
        <v>8.5</v>
      </c>
    </row>
    <row r="270" spans="1:5" x14ac:dyDescent="0.3">
      <c r="A270" t="s">
        <v>294</v>
      </c>
      <c r="B270">
        <v>26</v>
      </c>
      <c r="C270" t="s">
        <v>16</v>
      </c>
      <c r="D270">
        <v>56.2</v>
      </c>
      <c r="E270">
        <v>7.2</v>
      </c>
    </row>
    <row r="271" spans="1:5" x14ac:dyDescent="0.3">
      <c r="A271" t="s">
        <v>295</v>
      </c>
      <c r="B271">
        <v>31</v>
      </c>
      <c r="C271" t="s">
        <v>24</v>
      </c>
      <c r="D271">
        <v>64.599999999999994</v>
      </c>
      <c r="E271">
        <v>9.3000000000000007</v>
      </c>
    </row>
    <row r="272" spans="1:5" x14ac:dyDescent="0.3">
      <c r="A272" t="s">
        <v>296</v>
      </c>
      <c r="B272">
        <v>41</v>
      </c>
      <c r="C272" t="s">
        <v>24</v>
      </c>
      <c r="D272">
        <v>49</v>
      </c>
      <c r="E272">
        <v>10.1</v>
      </c>
    </row>
    <row r="273" spans="1:5" x14ac:dyDescent="0.3">
      <c r="A273" t="s">
        <v>297</v>
      </c>
      <c r="B273">
        <v>18</v>
      </c>
      <c r="C273" t="s">
        <v>24</v>
      </c>
      <c r="D273">
        <v>62.2</v>
      </c>
      <c r="E273">
        <v>15.2</v>
      </c>
    </row>
    <row r="274" spans="1:5" x14ac:dyDescent="0.3">
      <c r="A274" t="s">
        <v>298</v>
      </c>
      <c r="B274">
        <v>39</v>
      </c>
      <c r="C274" t="s">
        <v>24</v>
      </c>
      <c r="D274">
        <v>47.1</v>
      </c>
      <c r="E274">
        <v>10.4</v>
      </c>
    </row>
    <row r="275" spans="1:5" x14ac:dyDescent="0.3">
      <c r="A275" t="s">
        <v>299</v>
      </c>
      <c r="B275">
        <v>30</v>
      </c>
      <c r="C275" t="s">
        <v>24</v>
      </c>
      <c r="D275">
        <v>60.4</v>
      </c>
      <c r="E275">
        <v>0.7</v>
      </c>
    </row>
    <row r="276" spans="1:5" x14ac:dyDescent="0.3">
      <c r="A276" t="s">
        <v>300</v>
      </c>
      <c r="B276">
        <v>22</v>
      </c>
      <c r="C276" t="s">
        <v>24</v>
      </c>
      <c r="D276">
        <v>20.6</v>
      </c>
      <c r="E276">
        <v>7.7</v>
      </c>
    </row>
    <row r="277" spans="1:5" hidden="1" x14ac:dyDescent="0.3">
      <c r="A277" t="s">
        <v>301</v>
      </c>
      <c r="B277">
        <v>33</v>
      </c>
      <c r="C277" t="s">
        <v>16</v>
      </c>
      <c r="D277">
        <v>28.4</v>
      </c>
      <c r="E277">
        <v>0</v>
      </c>
    </row>
    <row r="278" spans="1:5" x14ac:dyDescent="0.3">
      <c r="A278" t="s">
        <v>302</v>
      </c>
      <c r="B278">
        <v>31</v>
      </c>
      <c r="C278" t="s">
        <v>24</v>
      </c>
      <c r="D278">
        <v>42.2</v>
      </c>
      <c r="E278">
        <v>0.8</v>
      </c>
    </row>
    <row r="279" spans="1:5" x14ac:dyDescent="0.3">
      <c r="A279" t="s">
        <v>303</v>
      </c>
      <c r="B279">
        <v>25</v>
      </c>
      <c r="C279" t="s">
        <v>24</v>
      </c>
      <c r="D279">
        <v>88.1</v>
      </c>
      <c r="E279">
        <v>9.8000000000000007</v>
      </c>
    </row>
    <row r="280" spans="1:5" x14ac:dyDescent="0.3">
      <c r="A280" t="s">
        <v>304</v>
      </c>
      <c r="B280">
        <v>30</v>
      </c>
      <c r="C280" t="s">
        <v>16</v>
      </c>
      <c r="D280">
        <v>40.4</v>
      </c>
      <c r="E280">
        <v>6</v>
      </c>
    </row>
    <row r="281" spans="1:5" x14ac:dyDescent="0.3">
      <c r="A281" t="s">
        <v>305</v>
      </c>
      <c r="B281">
        <v>26</v>
      </c>
      <c r="C281" t="s">
        <v>24</v>
      </c>
      <c r="D281">
        <v>54</v>
      </c>
      <c r="E281">
        <v>2.1</v>
      </c>
    </row>
    <row r="282" spans="1:5" x14ac:dyDescent="0.3">
      <c r="A282" t="s">
        <v>306</v>
      </c>
      <c r="B282">
        <v>30</v>
      </c>
      <c r="C282" t="s">
        <v>24</v>
      </c>
      <c r="D282">
        <v>41.9</v>
      </c>
      <c r="E282">
        <v>5.6</v>
      </c>
    </row>
    <row r="283" spans="1:5" x14ac:dyDescent="0.3">
      <c r="A283" t="s">
        <v>307</v>
      </c>
      <c r="B283">
        <v>35</v>
      </c>
      <c r="C283" t="s">
        <v>24</v>
      </c>
      <c r="D283">
        <v>70.3</v>
      </c>
      <c r="E283">
        <v>5.7</v>
      </c>
    </row>
    <row r="284" spans="1:5" x14ac:dyDescent="0.3">
      <c r="A284" t="s">
        <v>308</v>
      </c>
      <c r="B284">
        <v>42</v>
      </c>
      <c r="C284" t="s">
        <v>16</v>
      </c>
      <c r="D284">
        <v>51.3</v>
      </c>
      <c r="E284">
        <v>3.3</v>
      </c>
    </row>
    <row r="285" spans="1:5" x14ac:dyDescent="0.3">
      <c r="A285" t="s">
        <v>309</v>
      </c>
      <c r="B285">
        <v>20</v>
      </c>
      <c r="C285" t="s">
        <v>16</v>
      </c>
      <c r="D285">
        <v>75.099999999999994</v>
      </c>
      <c r="E285">
        <v>13.4</v>
      </c>
    </row>
    <row r="286" spans="1:5" x14ac:dyDescent="0.3">
      <c r="A286" t="s">
        <v>310</v>
      </c>
      <c r="B286">
        <v>47</v>
      </c>
      <c r="C286" t="s">
        <v>28</v>
      </c>
      <c r="D286">
        <v>65.599999999999994</v>
      </c>
      <c r="E286">
        <v>16.100000000000001</v>
      </c>
    </row>
    <row r="287" spans="1:5" x14ac:dyDescent="0.3">
      <c r="A287" t="s">
        <v>311</v>
      </c>
      <c r="B287">
        <v>16</v>
      </c>
      <c r="C287" t="s">
        <v>24</v>
      </c>
      <c r="D287">
        <v>75.7</v>
      </c>
      <c r="E287">
        <v>5.0999999999999996</v>
      </c>
    </row>
    <row r="288" spans="1:5" x14ac:dyDescent="0.3">
      <c r="A288" t="s">
        <v>312</v>
      </c>
      <c r="B288">
        <v>28</v>
      </c>
      <c r="C288" t="s">
        <v>16</v>
      </c>
      <c r="D288">
        <v>43.6</v>
      </c>
      <c r="E288">
        <v>5.8</v>
      </c>
    </row>
    <row r="289" spans="1:5" hidden="1" x14ac:dyDescent="0.3">
      <c r="A289" t="s">
        <v>313</v>
      </c>
      <c r="B289">
        <v>34</v>
      </c>
      <c r="C289" t="s">
        <v>24</v>
      </c>
      <c r="D289">
        <v>30.5</v>
      </c>
      <c r="E289">
        <v>0</v>
      </c>
    </row>
    <row r="290" spans="1:5" x14ac:dyDescent="0.3">
      <c r="A290" t="s">
        <v>314</v>
      </c>
      <c r="B290">
        <v>32</v>
      </c>
      <c r="C290" t="s">
        <v>24</v>
      </c>
      <c r="D290">
        <v>42.2</v>
      </c>
      <c r="E290">
        <v>12.5</v>
      </c>
    </row>
    <row r="291" spans="1:5" x14ac:dyDescent="0.3">
      <c r="A291" t="s">
        <v>315</v>
      </c>
      <c r="B291">
        <v>25</v>
      </c>
      <c r="C291" t="s">
        <v>16</v>
      </c>
      <c r="D291">
        <v>59.6</v>
      </c>
      <c r="E291">
        <v>7.1</v>
      </c>
    </row>
    <row r="292" spans="1:5" x14ac:dyDescent="0.3">
      <c r="A292" t="s">
        <v>316</v>
      </c>
      <c r="B292">
        <v>28</v>
      </c>
      <c r="C292" t="s">
        <v>24</v>
      </c>
      <c r="D292">
        <v>66.2</v>
      </c>
      <c r="E292">
        <v>5.3</v>
      </c>
    </row>
    <row r="293" spans="1:5" x14ac:dyDescent="0.3">
      <c r="A293" t="s">
        <v>317</v>
      </c>
      <c r="B293">
        <v>26</v>
      </c>
      <c r="C293" t="s">
        <v>16</v>
      </c>
      <c r="D293">
        <v>64.599999999999994</v>
      </c>
      <c r="E293">
        <v>12.7</v>
      </c>
    </row>
    <row r="294" spans="1:5" x14ac:dyDescent="0.3">
      <c r="A294" t="s">
        <v>318</v>
      </c>
      <c r="B294">
        <v>25</v>
      </c>
      <c r="C294" t="s">
        <v>16</v>
      </c>
      <c r="D294">
        <v>42.4</v>
      </c>
      <c r="E294">
        <v>7.3</v>
      </c>
    </row>
    <row r="295" spans="1:5" x14ac:dyDescent="0.3">
      <c r="A295" t="s">
        <v>319</v>
      </c>
      <c r="B295">
        <v>36</v>
      </c>
      <c r="C295" t="s">
        <v>16</v>
      </c>
      <c r="D295">
        <v>47</v>
      </c>
      <c r="E295">
        <v>3.1</v>
      </c>
    </row>
    <row r="296" spans="1:5" x14ac:dyDescent="0.3">
      <c r="A296" t="s">
        <v>320</v>
      </c>
      <c r="B296">
        <v>32</v>
      </c>
      <c r="C296" t="s">
        <v>24</v>
      </c>
      <c r="D296">
        <v>75.7</v>
      </c>
      <c r="E296">
        <v>10.6</v>
      </c>
    </row>
    <row r="297" spans="1:5" x14ac:dyDescent="0.3">
      <c r="A297" t="s">
        <v>321</v>
      </c>
      <c r="B297">
        <v>24</v>
      </c>
      <c r="C297" t="s">
        <v>16</v>
      </c>
      <c r="D297">
        <v>49.2</v>
      </c>
      <c r="E297">
        <v>1.8</v>
      </c>
    </row>
    <row r="298" spans="1:5" x14ac:dyDescent="0.3">
      <c r="A298" t="s">
        <v>322</v>
      </c>
      <c r="B298">
        <v>37</v>
      </c>
      <c r="C298" t="s">
        <v>16</v>
      </c>
      <c r="D298">
        <v>46.8</v>
      </c>
      <c r="E298">
        <v>5.9</v>
      </c>
    </row>
    <row r="299" spans="1:5" x14ac:dyDescent="0.3">
      <c r="A299" t="s">
        <v>323</v>
      </c>
      <c r="B299">
        <v>32</v>
      </c>
      <c r="C299" t="s">
        <v>16</v>
      </c>
      <c r="D299">
        <v>49.5</v>
      </c>
      <c r="E299">
        <v>6.9</v>
      </c>
    </row>
    <row r="300" spans="1:5" x14ac:dyDescent="0.3">
      <c r="A300" t="s">
        <v>324</v>
      </c>
      <c r="B300">
        <v>36</v>
      </c>
      <c r="C300" t="s">
        <v>24</v>
      </c>
      <c r="D300">
        <v>40.6</v>
      </c>
      <c r="E300">
        <v>7.3</v>
      </c>
    </row>
    <row r="301" spans="1:5" x14ac:dyDescent="0.3">
      <c r="A301" t="s">
        <v>325</v>
      </c>
      <c r="B301">
        <v>35</v>
      </c>
      <c r="C301" t="s">
        <v>24</v>
      </c>
      <c r="D301">
        <v>66.900000000000006</v>
      </c>
      <c r="E301">
        <v>8.6</v>
      </c>
    </row>
    <row r="302" spans="1:5" x14ac:dyDescent="0.3">
      <c r="A302" t="s">
        <v>326</v>
      </c>
      <c r="B302">
        <v>23</v>
      </c>
      <c r="C302" t="s">
        <v>16</v>
      </c>
      <c r="D302">
        <v>38.6</v>
      </c>
      <c r="E302">
        <v>15.5</v>
      </c>
    </row>
    <row r="303" spans="1:5" x14ac:dyDescent="0.3">
      <c r="A303" t="s">
        <v>327</v>
      </c>
      <c r="B303">
        <v>25</v>
      </c>
      <c r="C303" t="s">
        <v>16</v>
      </c>
      <c r="D303">
        <v>34.4</v>
      </c>
      <c r="E303">
        <v>6.4</v>
      </c>
    </row>
    <row r="304" spans="1:5" hidden="1" x14ac:dyDescent="0.3">
      <c r="A304" t="s">
        <v>328</v>
      </c>
      <c r="B304">
        <v>35</v>
      </c>
      <c r="C304" t="s">
        <v>24</v>
      </c>
      <c r="D304">
        <v>47.8</v>
      </c>
      <c r="E304">
        <v>0</v>
      </c>
    </row>
    <row r="305" spans="1:5" hidden="1" x14ac:dyDescent="0.3">
      <c r="A305" t="s">
        <v>329</v>
      </c>
      <c r="B305">
        <v>34</v>
      </c>
      <c r="C305" t="s">
        <v>16</v>
      </c>
      <c r="D305">
        <v>46.3</v>
      </c>
      <c r="E305">
        <v>0</v>
      </c>
    </row>
    <row r="306" spans="1:5" x14ac:dyDescent="0.3">
      <c r="A306" t="s">
        <v>330</v>
      </c>
      <c r="B306">
        <v>29</v>
      </c>
      <c r="C306" t="s">
        <v>16</v>
      </c>
      <c r="D306">
        <v>48.1</v>
      </c>
      <c r="E306">
        <v>8.1999999999999993</v>
      </c>
    </row>
    <row r="307" spans="1:5" x14ac:dyDescent="0.3">
      <c r="A307" t="s">
        <v>331</v>
      </c>
      <c r="B307">
        <v>30</v>
      </c>
      <c r="C307" t="s">
        <v>16</v>
      </c>
      <c r="D307">
        <v>41.9</v>
      </c>
      <c r="E307">
        <v>1.9</v>
      </c>
    </row>
    <row r="308" spans="1:5" x14ac:dyDescent="0.3">
      <c r="A308" t="s">
        <v>332</v>
      </c>
      <c r="B308">
        <v>40</v>
      </c>
      <c r="C308" t="s">
        <v>16</v>
      </c>
      <c r="D308">
        <v>43.4</v>
      </c>
      <c r="E308">
        <v>6.5</v>
      </c>
    </row>
    <row r="309" spans="1:5" x14ac:dyDescent="0.3">
      <c r="A309" t="s">
        <v>333</v>
      </c>
      <c r="B309">
        <v>25</v>
      </c>
      <c r="C309" t="s">
        <v>16</v>
      </c>
      <c r="D309">
        <v>52.2</v>
      </c>
      <c r="E309">
        <v>5.5</v>
      </c>
    </row>
    <row r="310" spans="1:5" x14ac:dyDescent="0.3">
      <c r="A310" t="s">
        <v>334</v>
      </c>
      <c r="B310">
        <v>34</v>
      </c>
      <c r="C310" t="s">
        <v>16</v>
      </c>
      <c r="D310">
        <v>49.8</v>
      </c>
      <c r="E310">
        <v>5.6</v>
      </c>
    </row>
    <row r="311" spans="1:5" hidden="1" x14ac:dyDescent="0.3">
      <c r="A311" t="s">
        <v>335</v>
      </c>
      <c r="B311">
        <v>28</v>
      </c>
      <c r="C311" t="s">
        <v>16</v>
      </c>
      <c r="D311">
        <v>60.2</v>
      </c>
      <c r="E311">
        <v>0</v>
      </c>
    </row>
    <row r="312" spans="1:5" x14ac:dyDescent="0.3">
      <c r="A312" t="s">
        <v>336</v>
      </c>
      <c r="B312">
        <v>28</v>
      </c>
      <c r="C312" t="s">
        <v>24</v>
      </c>
      <c r="D312">
        <v>56.6</v>
      </c>
      <c r="E312">
        <v>5.7</v>
      </c>
    </row>
    <row r="313" spans="1:5" x14ac:dyDescent="0.3">
      <c r="A313" t="s">
        <v>337</v>
      </c>
      <c r="B313">
        <v>38</v>
      </c>
      <c r="C313" t="s">
        <v>16</v>
      </c>
      <c r="D313">
        <v>49.7</v>
      </c>
      <c r="E313">
        <v>11.4</v>
      </c>
    </row>
    <row r="314" spans="1:5" x14ac:dyDescent="0.3">
      <c r="A314" t="s">
        <v>338</v>
      </c>
      <c r="B314">
        <v>36</v>
      </c>
      <c r="C314" t="s">
        <v>24</v>
      </c>
      <c r="D314">
        <v>60.8</v>
      </c>
      <c r="E314">
        <v>8.1999999999999993</v>
      </c>
    </row>
    <row r="315" spans="1:5" hidden="1" x14ac:dyDescent="0.3">
      <c r="A315" t="s">
        <v>339</v>
      </c>
      <c r="B315">
        <v>36</v>
      </c>
      <c r="C315" t="s">
        <v>24</v>
      </c>
      <c r="D315">
        <v>49.6</v>
      </c>
      <c r="E315">
        <v>0</v>
      </c>
    </row>
    <row r="316" spans="1:5" x14ac:dyDescent="0.3">
      <c r="A316" t="s">
        <v>340</v>
      </c>
      <c r="B316">
        <v>40</v>
      </c>
      <c r="C316" t="s">
        <v>16</v>
      </c>
      <c r="D316">
        <v>38.1</v>
      </c>
      <c r="E316">
        <v>7.8</v>
      </c>
    </row>
    <row r="317" spans="1:5" x14ac:dyDescent="0.3">
      <c r="A317" t="s">
        <v>341</v>
      </c>
      <c r="B317">
        <v>30</v>
      </c>
      <c r="C317" t="s">
        <v>24</v>
      </c>
      <c r="D317">
        <v>55.3</v>
      </c>
      <c r="E317">
        <v>16.2</v>
      </c>
    </row>
    <row r="318" spans="1:5" x14ac:dyDescent="0.3">
      <c r="A318" t="s">
        <v>342</v>
      </c>
      <c r="B318">
        <v>35</v>
      </c>
      <c r="C318" t="s">
        <v>16</v>
      </c>
      <c r="D318">
        <v>80.2</v>
      </c>
      <c r="E318">
        <v>9.1999999999999993</v>
      </c>
    </row>
    <row r="319" spans="1:5" hidden="1" x14ac:dyDescent="0.3">
      <c r="A319" t="s">
        <v>343</v>
      </c>
      <c r="B319">
        <v>27</v>
      </c>
      <c r="C319" t="s">
        <v>24</v>
      </c>
      <c r="D319">
        <v>72.7</v>
      </c>
      <c r="E319">
        <v>0</v>
      </c>
    </row>
    <row r="320" spans="1:5" x14ac:dyDescent="0.3">
      <c r="A320" t="s">
        <v>344</v>
      </c>
      <c r="B320">
        <v>32</v>
      </c>
      <c r="C320" t="s">
        <v>16</v>
      </c>
      <c r="D320">
        <v>40.6</v>
      </c>
      <c r="E320">
        <v>10.3</v>
      </c>
    </row>
    <row r="321" spans="1:5" hidden="1" x14ac:dyDescent="0.3">
      <c r="A321" t="s">
        <v>345</v>
      </c>
      <c r="B321">
        <v>28</v>
      </c>
      <c r="C321" t="s">
        <v>16</v>
      </c>
      <c r="D321">
        <v>40.799999999999997</v>
      </c>
      <c r="E321">
        <v>0</v>
      </c>
    </row>
    <row r="322" spans="1:5" x14ac:dyDescent="0.3">
      <c r="A322" t="s">
        <v>346</v>
      </c>
      <c r="B322">
        <v>30</v>
      </c>
      <c r="C322" t="s">
        <v>16</v>
      </c>
      <c r="D322">
        <v>43.6</v>
      </c>
      <c r="E322">
        <v>14.1</v>
      </c>
    </row>
    <row r="323" spans="1:5" x14ac:dyDescent="0.3">
      <c r="A323" t="s">
        <v>347</v>
      </c>
      <c r="B323">
        <v>34</v>
      </c>
      <c r="C323" t="s">
        <v>28</v>
      </c>
      <c r="D323">
        <v>63.7</v>
      </c>
      <c r="E323">
        <v>10.6</v>
      </c>
    </row>
    <row r="324" spans="1:5" hidden="1" x14ac:dyDescent="0.3">
      <c r="A324" t="s">
        <v>348</v>
      </c>
      <c r="B324">
        <v>23</v>
      </c>
      <c r="C324" t="s">
        <v>16</v>
      </c>
      <c r="D324">
        <v>88.8</v>
      </c>
      <c r="E324">
        <v>0</v>
      </c>
    </row>
    <row r="325" spans="1:5" x14ac:dyDescent="0.3">
      <c r="A325" t="s">
        <v>349</v>
      </c>
      <c r="B325">
        <v>46</v>
      </c>
      <c r="C325" t="s">
        <v>24</v>
      </c>
      <c r="D325">
        <v>54.7</v>
      </c>
      <c r="E325">
        <v>8.1</v>
      </c>
    </row>
    <row r="326" spans="1:5" x14ac:dyDescent="0.3">
      <c r="A326" t="s">
        <v>350</v>
      </c>
      <c r="B326">
        <v>21</v>
      </c>
      <c r="C326" t="s">
        <v>16</v>
      </c>
      <c r="D326">
        <v>40.799999999999997</v>
      </c>
      <c r="E326">
        <v>7.7</v>
      </c>
    </row>
    <row r="327" spans="1:5" x14ac:dyDescent="0.3">
      <c r="A327" t="s">
        <v>351</v>
      </c>
      <c r="B327">
        <v>20</v>
      </c>
      <c r="C327" t="s">
        <v>24</v>
      </c>
      <c r="D327">
        <v>49.5</v>
      </c>
      <c r="E327">
        <v>1.9</v>
      </c>
    </row>
    <row r="328" spans="1:5" x14ac:dyDescent="0.3">
      <c r="A328" t="s">
        <v>352</v>
      </c>
      <c r="B328">
        <v>39</v>
      </c>
      <c r="C328" t="s">
        <v>16</v>
      </c>
      <c r="D328">
        <v>52.5</v>
      </c>
      <c r="E328">
        <v>5.7</v>
      </c>
    </row>
    <row r="329" spans="1:5" x14ac:dyDescent="0.3">
      <c r="A329" t="s">
        <v>353</v>
      </c>
      <c r="B329">
        <v>36</v>
      </c>
      <c r="C329" t="s">
        <v>24</v>
      </c>
      <c r="D329">
        <v>84</v>
      </c>
      <c r="E329">
        <v>2</v>
      </c>
    </row>
    <row r="330" spans="1:5" x14ac:dyDescent="0.3">
      <c r="A330" t="s">
        <v>354</v>
      </c>
      <c r="B330">
        <v>34</v>
      </c>
      <c r="C330" t="s">
        <v>16</v>
      </c>
      <c r="D330">
        <v>40.5</v>
      </c>
      <c r="E330">
        <v>7.9</v>
      </c>
    </row>
    <row r="331" spans="1:5" x14ac:dyDescent="0.3">
      <c r="A331" t="s">
        <v>355</v>
      </c>
      <c r="B331">
        <v>35</v>
      </c>
      <c r="C331" t="s">
        <v>16</v>
      </c>
      <c r="D331">
        <v>64</v>
      </c>
      <c r="E331">
        <v>3.1</v>
      </c>
    </row>
    <row r="332" spans="1:5" hidden="1" x14ac:dyDescent="0.3">
      <c r="A332" t="s">
        <v>356</v>
      </c>
      <c r="B332">
        <v>29</v>
      </c>
      <c r="C332" t="s">
        <v>16</v>
      </c>
      <c r="D332">
        <v>38.4</v>
      </c>
      <c r="E332">
        <v>0</v>
      </c>
    </row>
    <row r="333" spans="1:5" x14ac:dyDescent="0.3">
      <c r="A333" t="s">
        <v>357</v>
      </c>
      <c r="B333">
        <v>22</v>
      </c>
      <c r="C333" t="s">
        <v>16</v>
      </c>
      <c r="D333">
        <v>62.5</v>
      </c>
      <c r="E333">
        <v>5.3</v>
      </c>
    </row>
    <row r="334" spans="1:5" x14ac:dyDescent="0.3">
      <c r="A334" t="s">
        <v>358</v>
      </c>
      <c r="B334">
        <v>30</v>
      </c>
      <c r="C334" t="s">
        <v>24</v>
      </c>
      <c r="D334">
        <v>57.4</v>
      </c>
      <c r="E334">
        <v>10</v>
      </c>
    </row>
    <row r="335" spans="1:5" x14ac:dyDescent="0.3">
      <c r="A335" t="s">
        <v>359</v>
      </c>
      <c r="B335">
        <v>24</v>
      </c>
      <c r="C335" t="s">
        <v>16</v>
      </c>
      <c r="D335">
        <v>47.5</v>
      </c>
      <c r="E335">
        <v>6.6</v>
      </c>
    </row>
    <row r="336" spans="1:5" x14ac:dyDescent="0.3">
      <c r="A336" t="s">
        <v>360</v>
      </c>
      <c r="B336">
        <v>37</v>
      </c>
      <c r="C336" t="s">
        <v>24</v>
      </c>
      <c r="D336">
        <v>53.8</v>
      </c>
      <c r="E336">
        <v>17.5</v>
      </c>
    </row>
    <row r="337" spans="1:5" x14ac:dyDescent="0.3">
      <c r="A337" t="s">
        <v>361</v>
      </c>
      <c r="B337">
        <v>28</v>
      </c>
      <c r="C337" t="s">
        <v>16</v>
      </c>
      <c r="D337">
        <v>44.8</v>
      </c>
      <c r="E337">
        <v>4.4000000000000004</v>
      </c>
    </row>
    <row r="338" spans="1:5" x14ac:dyDescent="0.3">
      <c r="A338" t="s">
        <v>362</v>
      </c>
      <c r="B338">
        <v>23</v>
      </c>
      <c r="C338" t="s">
        <v>24</v>
      </c>
      <c r="D338">
        <v>31.4</v>
      </c>
      <c r="E338">
        <v>9.5</v>
      </c>
    </row>
    <row r="339" spans="1:5" x14ac:dyDescent="0.3">
      <c r="A339" t="s">
        <v>363</v>
      </c>
      <c r="B339">
        <v>27</v>
      </c>
      <c r="C339" t="s">
        <v>16</v>
      </c>
      <c r="D339">
        <v>39.1</v>
      </c>
      <c r="E339">
        <v>6.7</v>
      </c>
    </row>
    <row r="340" spans="1:5" x14ac:dyDescent="0.3">
      <c r="A340" t="s">
        <v>364</v>
      </c>
      <c r="B340">
        <v>33</v>
      </c>
      <c r="C340" t="s">
        <v>16</v>
      </c>
      <c r="D340">
        <v>62.5</v>
      </c>
      <c r="E340">
        <v>6.4</v>
      </c>
    </row>
    <row r="341" spans="1:5" x14ac:dyDescent="0.3">
      <c r="A341" t="s">
        <v>365</v>
      </c>
      <c r="B341">
        <v>25</v>
      </c>
      <c r="C341" t="s">
        <v>24</v>
      </c>
      <c r="D341">
        <v>46.3</v>
      </c>
      <c r="E341">
        <v>8.1</v>
      </c>
    </row>
    <row r="342" spans="1:5" x14ac:dyDescent="0.3">
      <c r="A342" t="s">
        <v>366</v>
      </c>
      <c r="B342">
        <v>23</v>
      </c>
      <c r="C342" t="s">
        <v>16</v>
      </c>
      <c r="D342">
        <v>38.4</v>
      </c>
      <c r="E342">
        <v>4.7</v>
      </c>
    </row>
    <row r="343" spans="1:5" x14ac:dyDescent="0.3">
      <c r="A343" t="s">
        <v>367</v>
      </c>
      <c r="B343">
        <v>31</v>
      </c>
      <c r="C343" t="s">
        <v>16</v>
      </c>
      <c r="D343">
        <v>54.5</v>
      </c>
      <c r="E343">
        <v>10.8</v>
      </c>
    </row>
    <row r="344" spans="1:5" x14ac:dyDescent="0.3">
      <c r="A344" t="s">
        <v>368</v>
      </c>
      <c r="B344">
        <v>31</v>
      </c>
      <c r="C344" t="s">
        <v>24</v>
      </c>
      <c r="D344">
        <v>57.1</v>
      </c>
      <c r="E344">
        <v>1.4</v>
      </c>
    </row>
    <row r="345" spans="1:5" x14ac:dyDescent="0.3">
      <c r="A345" t="s">
        <v>369</v>
      </c>
      <c r="B345">
        <v>25</v>
      </c>
      <c r="C345" t="s">
        <v>24</v>
      </c>
      <c r="D345">
        <v>67.099999999999994</v>
      </c>
      <c r="E345">
        <v>4.8</v>
      </c>
    </row>
    <row r="346" spans="1:5" x14ac:dyDescent="0.3">
      <c r="A346" t="s">
        <v>370</v>
      </c>
      <c r="B346">
        <v>26</v>
      </c>
      <c r="C346" t="s">
        <v>16</v>
      </c>
      <c r="D346">
        <v>67.5</v>
      </c>
      <c r="E346">
        <v>7</v>
      </c>
    </row>
    <row r="347" spans="1:5" x14ac:dyDescent="0.3">
      <c r="A347" t="s">
        <v>371</v>
      </c>
      <c r="B347">
        <v>31</v>
      </c>
      <c r="C347" t="s">
        <v>16</v>
      </c>
      <c r="D347">
        <v>58.2</v>
      </c>
      <c r="E347">
        <v>15.3</v>
      </c>
    </row>
    <row r="348" spans="1:5" x14ac:dyDescent="0.3">
      <c r="A348" t="s">
        <v>372</v>
      </c>
      <c r="B348">
        <v>18</v>
      </c>
      <c r="C348" t="s">
        <v>24</v>
      </c>
      <c r="D348">
        <v>58.6</v>
      </c>
      <c r="E348">
        <v>9.6</v>
      </c>
    </row>
    <row r="349" spans="1:5" x14ac:dyDescent="0.3">
      <c r="A349" t="s">
        <v>373</v>
      </c>
      <c r="B349">
        <v>18</v>
      </c>
      <c r="C349" t="s">
        <v>16</v>
      </c>
      <c r="D349">
        <v>61.3</v>
      </c>
      <c r="E349">
        <v>7.5</v>
      </c>
    </row>
    <row r="350" spans="1:5" x14ac:dyDescent="0.3">
      <c r="A350" t="s">
        <v>374</v>
      </c>
      <c r="B350">
        <v>24</v>
      </c>
      <c r="C350" t="s">
        <v>16</v>
      </c>
      <c r="D350">
        <v>58.6</v>
      </c>
      <c r="E350">
        <v>3.5</v>
      </c>
    </row>
    <row r="351" spans="1:5" x14ac:dyDescent="0.3">
      <c r="A351" t="s">
        <v>375</v>
      </c>
      <c r="B351">
        <v>28</v>
      </c>
      <c r="C351" t="s">
        <v>16</v>
      </c>
      <c r="D351">
        <v>43.7</v>
      </c>
      <c r="E351">
        <v>8.1</v>
      </c>
    </row>
    <row r="352" spans="1:5" x14ac:dyDescent="0.3">
      <c r="A352" t="s">
        <v>376</v>
      </c>
      <c r="B352">
        <v>32</v>
      </c>
      <c r="C352" t="s">
        <v>24</v>
      </c>
      <c r="D352">
        <v>23.2</v>
      </c>
      <c r="E352">
        <v>6</v>
      </c>
    </row>
    <row r="353" spans="1:5" hidden="1" x14ac:dyDescent="0.3">
      <c r="A353" t="s">
        <v>377</v>
      </c>
      <c r="B353">
        <v>41</v>
      </c>
      <c r="C353" t="s">
        <v>24</v>
      </c>
      <c r="D353">
        <v>97.1</v>
      </c>
      <c r="E353">
        <v>13.4</v>
      </c>
    </row>
    <row r="354" spans="1:5" x14ac:dyDescent="0.3">
      <c r="A354" t="s">
        <v>378</v>
      </c>
      <c r="B354">
        <v>36</v>
      </c>
      <c r="C354" t="s">
        <v>16</v>
      </c>
      <c r="D354">
        <v>34.1</v>
      </c>
      <c r="E354">
        <v>1.8</v>
      </c>
    </row>
    <row r="355" spans="1:5" x14ac:dyDescent="0.3">
      <c r="A355" t="s">
        <v>379</v>
      </c>
      <c r="B355">
        <v>28</v>
      </c>
      <c r="C355" t="s">
        <v>16</v>
      </c>
      <c r="D355">
        <v>39.799999999999997</v>
      </c>
      <c r="E355">
        <v>5.6</v>
      </c>
    </row>
    <row r="356" spans="1:5" x14ac:dyDescent="0.3">
      <c r="A356" t="s">
        <v>380</v>
      </c>
      <c r="B356">
        <v>29</v>
      </c>
      <c r="C356" t="s">
        <v>16</v>
      </c>
      <c r="D356">
        <v>41.1</v>
      </c>
      <c r="E356">
        <v>7.1</v>
      </c>
    </row>
    <row r="357" spans="1:5" x14ac:dyDescent="0.3">
      <c r="A357" t="s">
        <v>381</v>
      </c>
      <c r="B357">
        <v>21</v>
      </c>
      <c r="C357" t="s">
        <v>24</v>
      </c>
      <c r="D357">
        <v>47.3</v>
      </c>
      <c r="E357">
        <v>6.5</v>
      </c>
    </row>
    <row r="358" spans="1:5" x14ac:dyDescent="0.3">
      <c r="A358" t="s">
        <v>382</v>
      </c>
      <c r="B358">
        <v>29</v>
      </c>
      <c r="C358" t="s">
        <v>16</v>
      </c>
      <c r="D358">
        <v>39.700000000000003</v>
      </c>
      <c r="E358">
        <v>11.7</v>
      </c>
    </row>
    <row r="359" spans="1:5" x14ac:dyDescent="0.3">
      <c r="A359" t="s">
        <v>383</v>
      </c>
      <c r="B359">
        <v>27</v>
      </c>
      <c r="C359" t="s">
        <v>16</v>
      </c>
      <c r="D359">
        <v>63</v>
      </c>
      <c r="E359">
        <v>1.5</v>
      </c>
    </row>
    <row r="360" spans="1:5" x14ac:dyDescent="0.3">
      <c r="A360" t="s">
        <v>384</v>
      </c>
      <c r="B360">
        <v>32</v>
      </c>
      <c r="C360" t="s">
        <v>24</v>
      </c>
      <c r="D360">
        <v>84.8</v>
      </c>
      <c r="E360">
        <v>12.2</v>
      </c>
    </row>
    <row r="361" spans="1:5" x14ac:dyDescent="0.3">
      <c r="A361" t="s">
        <v>385</v>
      </c>
      <c r="B361">
        <v>23</v>
      </c>
      <c r="C361" t="s">
        <v>16</v>
      </c>
      <c r="D361">
        <v>46</v>
      </c>
      <c r="E361">
        <v>12.3</v>
      </c>
    </row>
    <row r="362" spans="1:5" x14ac:dyDescent="0.3">
      <c r="A362" t="s">
        <v>386</v>
      </c>
      <c r="B362">
        <v>34</v>
      </c>
      <c r="C362" t="s">
        <v>24</v>
      </c>
      <c r="D362">
        <v>36.9</v>
      </c>
      <c r="E362">
        <v>6.6</v>
      </c>
    </row>
    <row r="363" spans="1:5" x14ac:dyDescent="0.3">
      <c r="A363" t="s">
        <v>387</v>
      </c>
      <c r="B363">
        <v>42</v>
      </c>
      <c r="C363" t="s">
        <v>16</v>
      </c>
      <c r="D363">
        <v>67.8</v>
      </c>
      <c r="E363">
        <v>2.7</v>
      </c>
    </row>
    <row r="364" spans="1:5" x14ac:dyDescent="0.3">
      <c r="A364" t="s">
        <v>388</v>
      </c>
      <c r="B364">
        <v>29</v>
      </c>
      <c r="C364" t="s">
        <v>16</v>
      </c>
      <c r="D364">
        <v>30.2</v>
      </c>
      <c r="E364">
        <v>7.6</v>
      </c>
    </row>
    <row r="365" spans="1:5" x14ac:dyDescent="0.3">
      <c r="A365" t="s">
        <v>389</v>
      </c>
      <c r="B365">
        <v>33</v>
      </c>
      <c r="C365" t="s">
        <v>16</v>
      </c>
      <c r="D365">
        <v>34.799999999999997</v>
      </c>
      <c r="E365">
        <v>8.3000000000000007</v>
      </c>
    </row>
    <row r="366" spans="1:5" x14ac:dyDescent="0.3">
      <c r="A366" t="s">
        <v>390</v>
      </c>
      <c r="B366">
        <v>35</v>
      </c>
      <c r="C366" t="s">
        <v>24</v>
      </c>
      <c r="D366">
        <v>39.6</v>
      </c>
      <c r="E366">
        <v>6.7</v>
      </c>
    </row>
    <row r="367" spans="1:5" x14ac:dyDescent="0.3">
      <c r="A367" t="s">
        <v>391</v>
      </c>
      <c r="B367">
        <v>26</v>
      </c>
      <c r="C367" t="s">
        <v>24</v>
      </c>
      <c r="D367">
        <v>52.1</v>
      </c>
      <c r="E367">
        <v>5.7</v>
      </c>
    </row>
    <row r="368" spans="1:5" x14ac:dyDescent="0.3">
      <c r="A368" t="s">
        <v>392</v>
      </c>
      <c r="B368">
        <v>31</v>
      </c>
      <c r="C368" t="s">
        <v>24</v>
      </c>
      <c r="D368">
        <v>51.9</v>
      </c>
      <c r="E368">
        <v>16.399999999999999</v>
      </c>
    </row>
    <row r="369" spans="1:5" x14ac:dyDescent="0.3">
      <c r="A369" t="s">
        <v>393</v>
      </c>
      <c r="B369">
        <v>30</v>
      </c>
      <c r="C369" t="s">
        <v>16</v>
      </c>
      <c r="D369">
        <v>48.6</v>
      </c>
      <c r="E369">
        <v>2</v>
      </c>
    </row>
    <row r="370" spans="1:5" hidden="1" x14ac:dyDescent="0.3">
      <c r="A370" t="s">
        <v>394</v>
      </c>
      <c r="B370">
        <v>30</v>
      </c>
      <c r="C370" t="s">
        <v>24</v>
      </c>
      <c r="D370">
        <v>63.3</v>
      </c>
      <c r="E370">
        <v>0</v>
      </c>
    </row>
    <row r="371" spans="1:5" x14ac:dyDescent="0.3">
      <c r="A371" t="s">
        <v>395</v>
      </c>
      <c r="B371">
        <v>23</v>
      </c>
      <c r="C371" t="s">
        <v>16</v>
      </c>
      <c r="D371">
        <v>54.9</v>
      </c>
      <c r="E371">
        <v>9.5</v>
      </c>
    </row>
    <row r="372" spans="1:5" x14ac:dyDescent="0.3">
      <c r="A372" t="s">
        <v>396</v>
      </c>
      <c r="B372">
        <v>30</v>
      </c>
      <c r="C372" t="s">
        <v>16</v>
      </c>
      <c r="D372">
        <v>46.8</v>
      </c>
      <c r="E372">
        <v>13.9</v>
      </c>
    </row>
    <row r="373" spans="1:5" x14ac:dyDescent="0.3">
      <c r="A373" t="s">
        <v>397</v>
      </c>
      <c r="B373">
        <v>33</v>
      </c>
      <c r="C373" t="s">
        <v>24</v>
      </c>
      <c r="D373">
        <v>34.1</v>
      </c>
      <c r="E373">
        <v>7.9</v>
      </c>
    </row>
    <row r="374" spans="1:5" x14ac:dyDescent="0.3">
      <c r="A374" t="s">
        <v>398</v>
      </c>
      <c r="B374">
        <v>41</v>
      </c>
      <c r="C374" t="s">
        <v>16</v>
      </c>
      <c r="D374">
        <v>45</v>
      </c>
      <c r="E374">
        <v>1.8</v>
      </c>
    </row>
    <row r="375" spans="1:5" x14ac:dyDescent="0.3">
      <c r="A375" t="s">
        <v>399</v>
      </c>
      <c r="B375">
        <v>37</v>
      </c>
      <c r="C375" t="s">
        <v>16</v>
      </c>
      <c r="D375">
        <v>72.5</v>
      </c>
      <c r="E375">
        <v>5</v>
      </c>
    </row>
    <row r="376" spans="1:5" hidden="1" x14ac:dyDescent="0.3">
      <c r="A376" t="s">
        <v>400</v>
      </c>
      <c r="B376">
        <v>47</v>
      </c>
      <c r="C376" t="s">
        <v>16</v>
      </c>
      <c r="D376">
        <v>44.3</v>
      </c>
      <c r="E376">
        <v>0</v>
      </c>
    </row>
    <row r="377" spans="1:5" x14ac:dyDescent="0.3">
      <c r="A377" t="s">
        <v>401</v>
      </c>
      <c r="B377">
        <v>23</v>
      </c>
      <c r="C377" t="s">
        <v>16</v>
      </c>
      <c r="D377">
        <v>56</v>
      </c>
      <c r="E377">
        <v>11.1</v>
      </c>
    </row>
    <row r="378" spans="1:5" hidden="1" x14ac:dyDescent="0.3">
      <c r="A378" t="s">
        <v>402</v>
      </c>
      <c r="B378">
        <v>36</v>
      </c>
      <c r="C378" t="s">
        <v>16</v>
      </c>
      <c r="D378">
        <v>59.1</v>
      </c>
      <c r="E378">
        <v>0</v>
      </c>
    </row>
    <row r="379" spans="1:5" x14ac:dyDescent="0.3">
      <c r="A379" t="s">
        <v>403</v>
      </c>
      <c r="B379">
        <v>31</v>
      </c>
      <c r="C379" t="s">
        <v>24</v>
      </c>
      <c r="D379">
        <v>76.5</v>
      </c>
      <c r="E379">
        <v>9.4</v>
      </c>
    </row>
    <row r="380" spans="1:5" x14ac:dyDescent="0.3">
      <c r="A380" t="s">
        <v>404</v>
      </c>
      <c r="B380">
        <v>47</v>
      </c>
      <c r="C380" t="s">
        <v>16</v>
      </c>
      <c r="D380">
        <v>63</v>
      </c>
      <c r="E380">
        <v>4.5999999999999996</v>
      </c>
    </row>
    <row r="381" spans="1:5" x14ac:dyDescent="0.3">
      <c r="A381" t="s">
        <v>405</v>
      </c>
      <c r="B381">
        <v>23</v>
      </c>
      <c r="C381" t="s">
        <v>24</v>
      </c>
      <c r="D381">
        <v>56.5</v>
      </c>
      <c r="E381">
        <v>9.1999999999999993</v>
      </c>
    </row>
    <row r="382" spans="1:5" x14ac:dyDescent="0.3">
      <c r="A382" t="s">
        <v>406</v>
      </c>
      <c r="B382">
        <v>23</v>
      </c>
      <c r="C382" t="s">
        <v>24</v>
      </c>
      <c r="D382">
        <v>47.3</v>
      </c>
      <c r="E382">
        <v>6.6</v>
      </c>
    </row>
    <row r="383" spans="1:5" x14ac:dyDescent="0.3">
      <c r="A383" t="s">
        <v>407</v>
      </c>
      <c r="B383">
        <v>25</v>
      </c>
      <c r="C383" t="s">
        <v>16</v>
      </c>
      <c r="D383">
        <v>40.4</v>
      </c>
      <c r="E383">
        <v>5.8</v>
      </c>
    </row>
    <row r="384" spans="1:5" x14ac:dyDescent="0.3">
      <c r="A384" t="s">
        <v>408</v>
      </c>
      <c r="B384">
        <v>16</v>
      </c>
      <c r="C384" t="s">
        <v>16</v>
      </c>
      <c r="D384">
        <v>81</v>
      </c>
      <c r="E384">
        <v>7.2</v>
      </c>
    </row>
    <row r="385" spans="1:5" hidden="1" x14ac:dyDescent="0.3">
      <c r="A385" t="s">
        <v>409</v>
      </c>
      <c r="B385">
        <v>25</v>
      </c>
      <c r="C385" t="s">
        <v>16</v>
      </c>
      <c r="D385">
        <v>97.6</v>
      </c>
      <c r="E385">
        <v>5</v>
      </c>
    </row>
    <row r="386" spans="1:5" x14ac:dyDescent="0.3">
      <c r="A386" t="s">
        <v>410</v>
      </c>
      <c r="B386">
        <v>23</v>
      </c>
      <c r="C386" t="s">
        <v>24</v>
      </c>
      <c r="D386">
        <v>33.5</v>
      </c>
      <c r="E386">
        <v>11.3</v>
      </c>
    </row>
    <row r="387" spans="1:5" x14ac:dyDescent="0.3">
      <c r="A387" t="s">
        <v>411</v>
      </c>
      <c r="B387">
        <v>31</v>
      </c>
      <c r="C387" t="s">
        <v>16</v>
      </c>
      <c r="D387">
        <v>50.4</v>
      </c>
      <c r="E387">
        <v>6.4</v>
      </c>
    </row>
    <row r="388" spans="1:5" x14ac:dyDescent="0.3">
      <c r="A388" t="s">
        <v>412</v>
      </c>
      <c r="B388">
        <v>32</v>
      </c>
      <c r="C388" t="s">
        <v>24</v>
      </c>
      <c r="D388">
        <v>43.8</v>
      </c>
      <c r="E388">
        <v>6.7</v>
      </c>
    </row>
    <row r="389" spans="1:5" x14ac:dyDescent="0.3">
      <c r="A389" t="s">
        <v>413</v>
      </c>
      <c r="B389">
        <v>45</v>
      </c>
      <c r="C389" t="s">
        <v>16</v>
      </c>
      <c r="D389">
        <v>49.9</v>
      </c>
      <c r="E389">
        <v>18.5</v>
      </c>
    </row>
    <row r="390" spans="1:5" x14ac:dyDescent="0.3">
      <c r="A390" t="s">
        <v>414</v>
      </c>
      <c r="B390">
        <v>37</v>
      </c>
      <c r="C390" t="s">
        <v>24</v>
      </c>
      <c r="D390">
        <v>32.799999999999997</v>
      </c>
      <c r="E390">
        <v>9.5</v>
      </c>
    </row>
    <row r="391" spans="1:5" x14ac:dyDescent="0.3">
      <c r="A391" t="s">
        <v>415</v>
      </c>
      <c r="B391">
        <v>25</v>
      </c>
      <c r="C391" t="s">
        <v>16</v>
      </c>
      <c r="D391">
        <v>50.4</v>
      </c>
      <c r="E391">
        <v>6.3</v>
      </c>
    </row>
    <row r="392" spans="1:5" x14ac:dyDescent="0.3">
      <c r="A392" t="s">
        <v>416</v>
      </c>
      <c r="B392">
        <v>22</v>
      </c>
      <c r="C392" t="s">
        <v>16</v>
      </c>
      <c r="D392">
        <v>36.5</v>
      </c>
      <c r="E392">
        <v>11.7</v>
      </c>
    </row>
    <row r="393" spans="1:5" x14ac:dyDescent="0.3">
      <c r="A393" t="s">
        <v>417</v>
      </c>
      <c r="B393">
        <v>33</v>
      </c>
      <c r="C393" t="s">
        <v>24</v>
      </c>
      <c r="D393">
        <v>51.2</v>
      </c>
      <c r="E393">
        <v>17.600000000000001</v>
      </c>
    </row>
    <row r="394" spans="1:5" x14ac:dyDescent="0.3">
      <c r="A394" t="s">
        <v>418</v>
      </c>
      <c r="B394">
        <v>19</v>
      </c>
      <c r="C394" t="s">
        <v>24</v>
      </c>
      <c r="D394">
        <v>34.4</v>
      </c>
      <c r="E394">
        <v>9</v>
      </c>
    </row>
    <row r="395" spans="1:5" x14ac:dyDescent="0.3">
      <c r="A395" t="s">
        <v>419</v>
      </c>
      <c r="B395">
        <v>44</v>
      </c>
      <c r="C395" t="s">
        <v>16</v>
      </c>
      <c r="D395">
        <v>38.799999999999997</v>
      </c>
      <c r="E395">
        <v>9.4</v>
      </c>
    </row>
    <row r="396" spans="1:5" x14ac:dyDescent="0.3">
      <c r="A396" t="s">
        <v>420</v>
      </c>
      <c r="B396">
        <v>39</v>
      </c>
      <c r="C396" t="s">
        <v>24</v>
      </c>
      <c r="D396">
        <v>43.5</v>
      </c>
      <c r="E396">
        <v>0.7</v>
      </c>
    </row>
    <row r="397" spans="1:5" x14ac:dyDescent="0.3">
      <c r="A397" t="s">
        <v>421</v>
      </c>
      <c r="B397">
        <v>26</v>
      </c>
      <c r="C397" t="s">
        <v>16</v>
      </c>
      <c r="D397">
        <v>64.599999999999994</v>
      </c>
      <c r="E397">
        <v>7.6</v>
      </c>
    </row>
    <row r="398" spans="1:5" x14ac:dyDescent="0.3">
      <c r="A398" t="s">
        <v>422</v>
      </c>
      <c r="B398">
        <v>16</v>
      </c>
      <c r="C398" t="s">
        <v>24</v>
      </c>
      <c r="D398">
        <v>47.4</v>
      </c>
      <c r="E398">
        <v>7</v>
      </c>
    </row>
    <row r="399" spans="1:5" x14ac:dyDescent="0.3">
      <c r="A399" t="s">
        <v>423</v>
      </c>
      <c r="B399">
        <v>40</v>
      </c>
      <c r="C399" t="s">
        <v>24</v>
      </c>
      <c r="D399">
        <v>57.3</v>
      </c>
      <c r="E399">
        <v>10.1</v>
      </c>
    </row>
    <row r="400" spans="1:5" x14ac:dyDescent="0.3">
      <c r="A400" t="s">
        <v>424</v>
      </c>
      <c r="B400">
        <v>29</v>
      </c>
      <c r="C400" t="s">
        <v>16</v>
      </c>
      <c r="D400">
        <v>63.6</v>
      </c>
      <c r="E400">
        <v>12.1</v>
      </c>
    </row>
    <row r="401" spans="1:5" x14ac:dyDescent="0.3">
      <c r="A401" t="s">
        <v>425</v>
      </c>
      <c r="B401">
        <v>39</v>
      </c>
      <c r="C401" t="s">
        <v>16</v>
      </c>
      <c r="D401">
        <v>41.4</v>
      </c>
      <c r="E401">
        <v>9.8000000000000007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138714-38ff-422a-8081-f9503eb41e5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233EFE983FA8439C162B329BFC4A5E" ma:contentTypeVersion="5" ma:contentTypeDescription="Create a new document." ma:contentTypeScope="" ma:versionID="9cd938c95b352a7fc8dbee3ea7034837">
  <xsd:schema xmlns:xsd="http://www.w3.org/2001/XMLSchema" xmlns:xs="http://www.w3.org/2001/XMLSchema" xmlns:p="http://schemas.microsoft.com/office/2006/metadata/properties" xmlns:ns3="a4138714-38ff-422a-8081-f9503eb41e5d" targetNamespace="http://schemas.microsoft.com/office/2006/metadata/properties" ma:root="true" ma:fieldsID="52adc41681a31d1f52ad50267f4bd074" ns3:_="">
    <xsd:import namespace="a4138714-38ff-422a-8081-f9503eb41e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38714-38ff-422a-8081-f9503eb41e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FD9B89-A39C-4B64-9CCE-22BC8F1B7A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E6593F-B7F1-436B-B590-C21113174160}">
  <ds:schemaRefs>
    <ds:schemaRef ds:uri="http://schemas.openxmlformats.org/package/2006/metadata/core-properties"/>
    <ds:schemaRef ds:uri="http://purl.org/dc/terms/"/>
    <ds:schemaRef ds:uri="a4138714-38ff-422a-8081-f9503eb41e5d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54E6AA4-8D57-4BCF-A3CE-B0A97962840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9F9EAB4-5EB7-453E-A250-AA1AA43285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138714-38ff-422a-8081-f9503eb41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ScreenTime vs MentalWellness</vt:lpstr>
      <vt:lpstr>Removed Outlier for productivit</vt:lpstr>
      <vt:lpstr>General Info Of Data set</vt:lpstr>
      <vt:lpstr>Productivity IQR</vt:lpstr>
      <vt:lpstr>Stress And Productivity</vt:lpstr>
      <vt:lpstr>Group by work mode ANOVA</vt:lpstr>
      <vt:lpstr>ScreenTime VS Productivity</vt:lpstr>
      <vt:lpstr>ScreenTime and Productivity</vt:lpstr>
      <vt:lpstr>Productivity vs ExerciseMinutes</vt:lpstr>
      <vt:lpstr>Productivity vs SocialHours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Sirasit Panichayunon</dc:creator>
  <cp:keywords/>
  <dc:description/>
  <cp:lastModifiedBy>Sirasit Panichayunon</cp:lastModifiedBy>
  <cp:revision/>
  <dcterms:created xsi:type="dcterms:W3CDTF">2025-11-06T12:25:36Z</dcterms:created>
  <dcterms:modified xsi:type="dcterms:W3CDTF">2025-11-18T04:50:51Z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0x01010039233EFE983FA8439C162B329BFC4A5E</vt:lpwstr>
  </property>
</Properties>
</file>